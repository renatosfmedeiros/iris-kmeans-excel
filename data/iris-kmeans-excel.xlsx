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renat\Downloads\"/>
    </mc:Choice>
  </mc:AlternateContent>
  <bookViews>
    <workbookView xWindow="0" yWindow="0" windowWidth="10440" windowHeight="7260"/>
  </bookViews>
  <sheets>
    <sheet name="Data &amp; K-means" sheetId="1" r:id="rId1"/>
    <sheet name="Perguntas &amp; Respostas" sheetId="2" r:id="rId2"/>
  </sheets>
  <definedNames>
    <definedName name="iris" localSheetId="0">'Data &amp; K-means'!$A$2:$E$151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2" l="1"/>
  <c r="L3" i="1" l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L92" i="1"/>
  <c r="M92" i="1"/>
  <c r="N92" i="1"/>
  <c r="L93" i="1"/>
  <c r="M93" i="1"/>
  <c r="N93" i="1"/>
  <c r="L94" i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L102" i="1"/>
  <c r="M102" i="1"/>
  <c r="N102" i="1"/>
  <c r="L103" i="1"/>
  <c r="M103" i="1"/>
  <c r="N103" i="1"/>
  <c r="L104" i="1"/>
  <c r="M104" i="1"/>
  <c r="N104" i="1"/>
  <c r="L105" i="1"/>
  <c r="M105" i="1"/>
  <c r="N105" i="1"/>
  <c r="L106" i="1"/>
  <c r="M106" i="1"/>
  <c r="N106" i="1"/>
  <c r="L107" i="1"/>
  <c r="M107" i="1"/>
  <c r="N107" i="1"/>
  <c r="L108" i="1"/>
  <c r="M108" i="1"/>
  <c r="N108" i="1"/>
  <c r="L109" i="1"/>
  <c r="M109" i="1"/>
  <c r="N109" i="1"/>
  <c r="L110" i="1"/>
  <c r="M110" i="1"/>
  <c r="N110" i="1"/>
  <c r="L111" i="1"/>
  <c r="M111" i="1"/>
  <c r="N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L118" i="1"/>
  <c r="M118" i="1"/>
  <c r="N118" i="1"/>
  <c r="L119" i="1"/>
  <c r="M119" i="1"/>
  <c r="N119" i="1"/>
  <c r="L120" i="1"/>
  <c r="M120" i="1"/>
  <c r="N120" i="1"/>
  <c r="L121" i="1"/>
  <c r="M121" i="1"/>
  <c r="N121" i="1"/>
  <c r="L122" i="1"/>
  <c r="M122" i="1"/>
  <c r="N122" i="1"/>
  <c r="L123" i="1"/>
  <c r="M123" i="1"/>
  <c r="N123" i="1"/>
  <c r="L124" i="1"/>
  <c r="M124" i="1"/>
  <c r="N124" i="1"/>
  <c r="L125" i="1"/>
  <c r="M125" i="1"/>
  <c r="N125" i="1"/>
  <c r="L126" i="1"/>
  <c r="M126" i="1"/>
  <c r="N126" i="1"/>
  <c r="L127" i="1"/>
  <c r="M127" i="1"/>
  <c r="N127" i="1"/>
  <c r="L128" i="1"/>
  <c r="M128" i="1"/>
  <c r="N128" i="1"/>
  <c r="L129" i="1"/>
  <c r="M129" i="1"/>
  <c r="N129" i="1"/>
  <c r="L130" i="1"/>
  <c r="M130" i="1"/>
  <c r="N130" i="1"/>
  <c r="L131" i="1"/>
  <c r="M131" i="1"/>
  <c r="N131" i="1"/>
  <c r="L132" i="1"/>
  <c r="M132" i="1"/>
  <c r="N132" i="1"/>
  <c r="L133" i="1"/>
  <c r="M133" i="1"/>
  <c r="N133" i="1"/>
  <c r="L134" i="1"/>
  <c r="M134" i="1"/>
  <c r="N134" i="1"/>
  <c r="L135" i="1"/>
  <c r="M135" i="1"/>
  <c r="N135" i="1"/>
  <c r="L136" i="1"/>
  <c r="M136" i="1"/>
  <c r="N136" i="1"/>
  <c r="L137" i="1"/>
  <c r="M137" i="1"/>
  <c r="N137" i="1"/>
  <c r="L138" i="1"/>
  <c r="M138" i="1"/>
  <c r="N138" i="1"/>
  <c r="L139" i="1"/>
  <c r="M139" i="1"/>
  <c r="N139" i="1"/>
  <c r="L140" i="1"/>
  <c r="M140" i="1"/>
  <c r="N140" i="1"/>
  <c r="L141" i="1"/>
  <c r="M141" i="1"/>
  <c r="N141" i="1"/>
  <c r="L142" i="1"/>
  <c r="M142" i="1"/>
  <c r="N142" i="1"/>
  <c r="L143" i="1"/>
  <c r="M143" i="1"/>
  <c r="N143" i="1"/>
  <c r="L144" i="1"/>
  <c r="M144" i="1"/>
  <c r="N144" i="1"/>
  <c r="L145" i="1"/>
  <c r="M145" i="1"/>
  <c r="N145" i="1"/>
  <c r="L146" i="1"/>
  <c r="M146" i="1"/>
  <c r="N146" i="1"/>
  <c r="L147" i="1"/>
  <c r="M147" i="1"/>
  <c r="N147" i="1"/>
  <c r="L148" i="1"/>
  <c r="M148" i="1"/>
  <c r="N148" i="1"/>
  <c r="L149" i="1"/>
  <c r="M149" i="1"/>
  <c r="N149" i="1"/>
  <c r="L150" i="1"/>
  <c r="M150" i="1"/>
  <c r="N150" i="1"/>
  <c r="L151" i="1"/>
  <c r="M151" i="1"/>
  <c r="N151" i="1"/>
  <c r="N2" i="1"/>
  <c r="M2" i="1"/>
  <c r="L2" i="1"/>
  <c r="O2" i="1" s="1"/>
  <c r="O151" i="1" l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K9" i="1" l="1"/>
  <c r="K14" i="1" s="1"/>
  <c r="K8" i="1"/>
  <c r="K13" i="1" s="1"/>
  <c r="K7" i="1"/>
  <c r="K12" i="1" s="1"/>
  <c r="J9" i="1"/>
  <c r="J14" i="1" s="1"/>
  <c r="J8" i="1"/>
  <c r="J13" i="1" s="1"/>
  <c r="J7" i="1"/>
  <c r="J12" i="1" s="1"/>
  <c r="I9" i="1"/>
  <c r="I14" i="1" s="1"/>
  <c r="I8" i="1"/>
  <c r="I13" i="1" s="1"/>
  <c r="I7" i="1"/>
  <c r="I12" i="1" s="1"/>
  <c r="H9" i="1"/>
  <c r="H14" i="1" s="1"/>
  <c r="H8" i="1"/>
  <c r="H13" i="1" s="1"/>
  <c r="H7" i="1"/>
  <c r="H12" i="1" s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2" i="1"/>
  <c r="S2" i="1" l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U3" i="1" l="1"/>
  <c r="V3" i="1"/>
  <c r="W3" i="1"/>
  <c r="X3" i="1"/>
  <c r="Y3" i="1"/>
  <c r="Z3" i="1"/>
  <c r="U4" i="1"/>
  <c r="V4" i="1"/>
  <c r="W4" i="1"/>
  <c r="X4" i="1"/>
  <c r="Y4" i="1"/>
  <c r="Z4" i="1"/>
  <c r="U5" i="1"/>
  <c r="V5" i="1"/>
  <c r="W5" i="1"/>
  <c r="X5" i="1"/>
  <c r="Y5" i="1"/>
  <c r="Z5" i="1"/>
  <c r="U6" i="1"/>
  <c r="V6" i="1"/>
  <c r="W6" i="1"/>
  <c r="X6" i="1"/>
  <c r="Y6" i="1"/>
  <c r="Z6" i="1"/>
  <c r="U7" i="1"/>
  <c r="V7" i="1"/>
  <c r="W7" i="1"/>
  <c r="X7" i="1"/>
  <c r="Y7" i="1"/>
  <c r="Z7" i="1"/>
  <c r="U8" i="1"/>
  <c r="V8" i="1"/>
  <c r="W8" i="1"/>
  <c r="X8" i="1"/>
  <c r="Y8" i="1"/>
  <c r="Z8" i="1"/>
  <c r="U9" i="1"/>
  <c r="V9" i="1"/>
  <c r="W9" i="1"/>
  <c r="X9" i="1"/>
  <c r="Y9" i="1"/>
  <c r="Z9" i="1"/>
  <c r="U10" i="1"/>
  <c r="V10" i="1"/>
  <c r="W10" i="1"/>
  <c r="X10" i="1"/>
  <c r="Y10" i="1"/>
  <c r="Z10" i="1"/>
  <c r="U11" i="1"/>
  <c r="V11" i="1"/>
  <c r="W11" i="1"/>
  <c r="X11" i="1"/>
  <c r="Y11" i="1"/>
  <c r="Z11" i="1"/>
  <c r="U12" i="1"/>
  <c r="V12" i="1"/>
  <c r="W12" i="1"/>
  <c r="X12" i="1"/>
  <c r="Y12" i="1"/>
  <c r="Z12" i="1"/>
  <c r="U13" i="1"/>
  <c r="V13" i="1"/>
  <c r="W13" i="1"/>
  <c r="X13" i="1"/>
  <c r="Y13" i="1"/>
  <c r="Z13" i="1"/>
  <c r="U14" i="1"/>
  <c r="V14" i="1"/>
  <c r="W14" i="1"/>
  <c r="X14" i="1"/>
  <c r="Y14" i="1"/>
  <c r="Z14" i="1"/>
  <c r="U15" i="1"/>
  <c r="V15" i="1"/>
  <c r="W15" i="1"/>
  <c r="X15" i="1"/>
  <c r="Y15" i="1"/>
  <c r="Z15" i="1"/>
  <c r="U16" i="1"/>
  <c r="V16" i="1"/>
  <c r="W16" i="1"/>
  <c r="X16" i="1"/>
  <c r="Y16" i="1"/>
  <c r="Z16" i="1"/>
  <c r="U17" i="1"/>
  <c r="V17" i="1"/>
  <c r="W17" i="1"/>
  <c r="X17" i="1"/>
  <c r="Y17" i="1"/>
  <c r="Z17" i="1"/>
  <c r="U18" i="1"/>
  <c r="V18" i="1"/>
  <c r="W18" i="1"/>
  <c r="X18" i="1"/>
  <c r="Y18" i="1"/>
  <c r="Z18" i="1"/>
  <c r="U19" i="1"/>
  <c r="V19" i="1"/>
  <c r="W19" i="1"/>
  <c r="X19" i="1"/>
  <c r="Y19" i="1"/>
  <c r="Z19" i="1"/>
  <c r="U20" i="1"/>
  <c r="V20" i="1"/>
  <c r="W20" i="1"/>
  <c r="X20" i="1"/>
  <c r="Y20" i="1"/>
  <c r="Z20" i="1"/>
  <c r="U21" i="1"/>
  <c r="V21" i="1"/>
  <c r="W21" i="1"/>
  <c r="X21" i="1"/>
  <c r="Y21" i="1"/>
  <c r="Z21" i="1"/>
  <c r="U22" i="1"/>
  <c r="V22" i="1"/>
  <c r="W22" i="1"/>
  <c r="X22" i="1"/>
  <c r="Y22" i="1"/>
  <c r="Z22" i="1"/>
  <c r="U23" i="1"/>
  <c r="V23" i="1"/>
  <c r="W23" i="1"/>
  <c r="X23" i="1"/>
  <c r="Y23" i="1"/>
  <c r="Z23" i="1"/>
  <c r="U24" i="1"/>
  <c r="V24" i="1"/>
  <c r="W24" i="1"/>
  <c r="X24" i="1"/>
  <c r="Y24" i="1"/>
  <c r="Z24" i="1"/>
  <c r="U25" i="1"/>
  <c r="V25" i="1"/>
  <c r="W25" i="1"/>
  <c r="X25" i="1"/>
  <c r="Y25" i="1"/>
  <c r="Z25" i="1"/>
  <c r="U26" i="1"/>
  <c r="V26" i="1"/>
  <c r="W26" i="1"/>
  <c r="X26" i="1"/>
  <c r="Y26" i="1"/>
  <c r="Z26" i="1"/>
  <c r="U27" i="1"/>
  <c r="V27" i="1"/>
  <c r="W27" i="1"/>
  <c r="X27" i="1"/>
  <c r="Y27" i="1"/>
  <c r="Z27" i="1"/>
  <c r="U28" i="1"/>
  <c r="V28" i="1"/>
  <c r="W28" i="1"/>
  <c r="X28" i="1"/>
  <c r="Y28" i="1"/>
  <c r="Z28" i="1"/>
  <c r="U29" i="1"/>
  <c r="V29" i="1"/>
  <c r="W29" i="1"/>
  <c r="X29" i="1"/>
  <c r="Y29" i="1"/>
  <c r="Z29" i="1"/>
  <c r="U30" i="1"/>
  <c r="V30" i="1"/>
  <c r="W30" i="1"/>
  <c r="X30" i="1"/>
  <c r="Y30" i="1"/>
  <c r="Z30" i="1"/>
  <c r="U31" i="1"/>
  <c r="V31" i="1"/>
  <c r="W31" i="1"/>
  <c r="X31" i="1"/>
  <c r="Y31" i="1"/>
  <c r="Z31" i="1"/>
  <c r="U32" i="1"/>
  <c r="V32" i="1"/>
  <c r="W32" i="1"/>
  <c r="X32" i="1"/>
  <c r="Y32" i="1"/>
  <c r="Z32" i="1"/>
  <c r="U33" i="1"/>
  <c r="V33" i="1"/>
  <c r="W33" i="1"/>
  <c r="X33" i="1"/>
  <c r="Y33" i="1"/>
  <c r="Z33" i="1"/>
  <c r="U34" i="1"/>
  <c r="V34" i="1"/>
  <c r="W34" i="1"/>
  <c r="X34" i="1"/>
  <c r="Y34" i="1"/>
  <c r="Z34" i="1"/>
  <c r="U35" i="1"/>
  <c r="V35" i="1"/>
  <c r="W35" i="1"/>
  <c r="X35" i="1"/>
  <c r="Y35" i="1"/>
  <c r="Z35" i="1"/>
  <c r="U36" i="1"/>
  <c r="V36" i="1"/>
  <c r="W36" i="1"/>
  <c r="X36" i="1"/>
  <c r="Y36" i="1"/>
  <c r="Z36" i="1"/>
  <c r="U37" i="1"/>
  <c r="V37" i="1"/>
  <c r="W37" i="1"/>
  <c r="X37" i="1"/>
  <c r="Y37" i="1"/>
  <c r="Z37" i="1"/>
  <c r="U38" i="1"/>
  <c r="V38" i="1"/>
  <c r="W38" i="1"/>
  <c r="X38" i="1"/>
  <c r="Y38" i="1"/>
  <c r="Z38" i="1"/>
  <c r="U39" i="1"/>
  <c r="V39" i="1"/>
  <c r="W39" i="1"/>
  <c r="X39" i="1"/>
  <c r="Y39" i="1"/>
  <c r="Z39" i="1"/>
  <c r="U40" i="1"/>
  <c r="V40" i="1"/>
  <c r="W40" i="1"/>
  <c r="X40" i="1"/>
  <c r="Y40" i="1"/>
  <c r="Z40" i="1"/>
  <c r="U41" i="1"/>
  <c r="V41" i="1"/>
  <c r="W41" i="1"/>
  <c r="X41" i="1"/>
  <c r="Y41" i="1"/>
  <c r="Z41" i="1"/>
  <c r="U42" i="1"/>
  <c r="V42" i="1"/>
  <c r="W42" i="1"/>
  <c r="X42" i="1"/>
  <c r="Y42" i="1"/>
  <c r="Z42" i="1"/>
  <c r="U43" i="1"/>
  <c r="V43" i="1"/>
  <c r="W43" i="1"/>
  <c r="X43" i="1"/>
  <c r="Y43" i="1"/>
  <c r="Z43" i="1"/>
  <c r="U44" i="1"/>
  <c r="V44" i="1"/>
  <c r="W44" i="1"/>
  <c r="X44" i="1"/>
  <c r="Y44" i="1"/>
  <c r="Z44" i="1"/>
  <c r="U45" i="1"/>
  <c r="V45" i="1"/>
  <c r="W45" i="1"/>
  <c r="X45" i="1"/>
  <c r="Y45" i="1"/>
  <c r="Z45" i="1"/>
  <c r="U46" i="1"/>
  <c r="V46" i="1"/>
  <c r="W46" i="1"/>
  <c r="X46" i="1"/>
  <c r="Y46" i="1"/>
  <c r="Z46" i="1"/>
  <c r="U47" i="1"/>
  <c r="V47" i="1"/>
  <c r="W47" i="1"/>
  <c r="X47" i="1"/>
  <c r="Y47" i="1"/>
  <c r="Z47" i="1"/>
  <c r="U48" i="1"/>
  <c r="V48" i="1"/>
  <c r="W48" i="1"/>
  <c r="X48" i="1"/>
  <c r="Y48" i="1"/>
  <c r="Z48" i="1"/>
  <c r="U49" i="1"/>
  <c r="V49" i="1"/>
  <c r="W49" i="1"/>
  <c r="X49" i="1"/>
  <c r="Y49" i="1"/>
  <c r="Z49" i="1"/>
  <c r="U50" i="1"/>
  <c r="V50" i="1"/>
  <c r="W50" i="1"/>
  <c r="X50" i="1"/>
  <c r="Y50" i="1"/>
  <c r="Z50" i="1"/>
  <c r="U51" i="1"/>
  <c r="V51" i="1"/>
  <c r="W51" i="1"/>
  <c r="X51" i="1"/>
  <c r="Y51" i="1"/>
  <c r="Z51" i="1"/>
  <c r="D27" i="2"/>
  <c r="C27" i="2"/>
  <c r="B27" i="2"/>
  <c r="U52" i="1"/>
  <c r="V52" i="1"/>
  <c r="W52" i="1"/>
  <c r="X52" i="1"/>
  <c r="Y52" i="1"/>
  <c r="Z52" i="1"/>
  <c r="U53" i="1"/>
  <c r="V53" i="1"/>
  <c r="W53" i="1"/>
  <c r="X53" i="1"/>
  <c r="Y53" i="1"/>
  <c r="Z53" i="1"/>
  <c r="U54" i="1"/>
  <c r="V54" i="1"/>
  <c r="W54" i="1"/>
  <c r="X54" i="1"/>
  <c r="Y54" i="1"/>
  <c r="Z54" i="1"/>
  <c r="U55" i="1"/>
  <c r="V55" i="1"/>
  <c r="W55" i="1"/>
  <c r="X55" i="1"/>
  <c r="Y55" i="1"/>
  <c r="Z55" i="1"/>
  <c r="U56" i="1"/>
  <c r="V56" i="1"/>
  <c r="W56" i="1"/>
  <c r="X56" i="1"/>
  <c r="Y56" i="1"/>
  <c r="Z56" i="1"/>
  <c r="U57" i="1"/>
  <c r="V57" i="1"/>
  <c r="W57" i="1"/>
  <c r="X57" i="1"/>
  <c r="Y57" i="1"/>
  <c r="Z57" i="1"/>
  <c r="U58" i="1"/>
  <c r="V58" i="1"/>
  <c r="W58" i="1"/>
  <c r="X58" i="1"/>
  <c r="Y58" i="1"/>
  <c r="Z58" i="1"/>
  <c r="U59" i="1"/>
  <c r="V59" i="1"/>
  <c r="W59" i="1"/>
  <c r="X59" i="1"/>
  <c r="Y59" i="1"/>
  <c r="Z59" i="1"/>
  <c r="U60" i="1"/>
  <c r="V60" i="1"/>
  <c r="W60" i="1"/>
  <c r="X60" i="1"/>
  <c r="Y60" i="1"/>
  <c r="Z60" i="1"/>
  <c r="U61" i="1"/>
  <c r="V61" i="1"/>
  <c r="W61" i="1"/>
  <c r="X61" i="1"/>
  <c r="Y61" i="1"/>
  <c r="Z61" i="1"/>
  <c r="U62" i="1"/>
  <c r="V62" i="1"/>
  <c r="W62" i="1"/>
  <c r="X62" i="1"/>
  <c r="Y62" i="1"/>
  <c r="Z62" i="1"/>
  <c r="U63" i="1"/>
  <c r="V63" i="1"/>
  <c r="W63" i="1"/>
  <c r="X63" i="1"/>
  <c r="Y63" i="1"/>
  <c r="Z63" i="1"/>
  <c r="U64" i="1"/>
  <c r="V64" i="1"/>
  <c r="W64" i="1"/>
  <c r="X64" i="1"/>
  <c r="Y64" i="1"/>
  <c r="Z64" i="1"/>
  <c r="U65" i="1"/>
  <c r="V65" i="1"/>
  <c r="W65" i="1"/>
  <c r="X65" i="1"/>
  <c r="Y65" i="1"/>
  <c r="Z65" i="1"/>
  <c r="U66" i="1"/>
  <c r="V66" i="1"/>
  <c r="W66" i="1"/>
  <c r="X66" i="1"/>
  <c r="Y66" i="1"/>
  <c r="Z66" i="1"/>
  <c r="U67" i="1"/>
  <c r="V67" i="1"/>
  <c r="W67" i="1"/>
  <c r="X67" i="1"/>
  <c r="Y67" i="1"/>
  <c r="Z67" i="1"/>
  <c r="U68" i="1"/>
  <c r="V68" i="1"/>
  <c r="W68" i="1"/>
  <c r="X68" i="1"/>
  <c r="Y68" i="1"/>
  <c r="Z68" i="1"/>
  <c r="U69" i="1"/>
  <c r="V69" i="1"/>
  <c r="W69" i="1"/>
  <c r="X69" i="1"/>
  <c r="Y69" i="1"/>
  <c r="Z69" i="1"/>
  <c r="U70" i="1"/>
  <c r="V70" i="1"/>
  <c r="W70" i="1"/>
  <c r="X70" i="1"/>
  <c r="Y70" i="1"/>
  <c r="Z70" i="1"/>
  <c r="U71" i="1"/>
  <c r="V71" i="1"/>
  <c r="W71" i="1"/>
  <c r="X71" i="1"/>
  <c r="Y71" i="1"/>
  <c r="Z71" i="1"/>
  <c r="U72" i="1"/>
  <c r="V72" i="1"/>
  <c r="W72" i="1"/>
  <c r="X72" i="1"/>
  <c r="Y72" i="1"/>
  <c r="Z72" i="1"/>
  <c r="U73" i="1"/>
  <c r="V73" i="1"/>
  <c r="W73" i="1"/>
  <c r="X73" i="1"/>
  <c r="Y73" i="1"/>
  <c r="Z73" i="1"/>
  <c r="U74" i="1"/>
  <c r="V74" i="1"/>
  <c r="W74" i="1"/>
  <c r="X74" i="1"/>
  <c r="Y74" i="1"/>
  <c r="Z74" i="1"/>
  <c r="U75" i="1"/>
  <c r="V75" i="1"/>
  <c r="W75" i="1"/>
  <c r="X75" i="1"/>
  <c r="Y75" i="1"/>
  <c r="Z75" i="1"/>
  <c r="U76" i="1"/>
  <c r="V76" i="1"/>
  <c r="W76" i="1"/>
  <c r="X76" i="1"/>
  <c r="Y76" i="1"/>
  <c r="Z76" i="1"/>
  <c r="U77" i="1"/>
  <c r="V77" i="1"/>
  <c r="W77" i="1"/>
  <c r="X77" i="1"/>
  <c r="Y77" i="1"/>
  <c r="Z77" i="1"/>
  <c r="U78" i="1"/>
  <c r="V78" i="1"/>
  <c r="W78" i="1"/>
  <c r="X78" i="1"/>
  <c r="Y78" i="1"/>
  <c r="Z78" i="1"/>
  <c r="U79" i="1"/>
  <c r="V79" i="1"/>
  <c r="W79" i="1"/>
  <c r="X79" i="1"/>
  <c r="Y79" i="1"/>
  <c r="Z79" i="1"/>
  <c r="U80" i="1"/>
  <c r="V80" i="1"/>
  <c r="W80" i="1"/>
  <c r="X80" i="1"/>
  <c r="Y80" i="1"/>
  <c r="Z80" i="1"/>
  <c r="U81" i="1"/>
  <c r="V81" i="1"/>
  <c r="W81" i="1"/>
  <c r="X81" i="1"/>
  <c r="Y81" i="1"/>
  <c r="Z81" i="1"/>
  <c r="U82" i="1"/>
  <c r="V82" i="1"/>
  <c r="W82" i="1"/>
  <c r="X82" i="1"/>
  <c r="Y82" i="1"/>
  <c r="Z82" i="1"/>
  <c r="U83" i="1"/>
  <c r="V83" i="1"/>
  <c r="W83" i="1"/>
  <c r="X83" i="1"/>
  <c r="Y83" i="1"/>
  <c r="Z83" i="1"/>
  <c r="U84" i="1"/>
  <c r="V84" i="1"/>
  <c r="W84" i="1"/>
  <c r="X84" i="1"/>
  <c r="Y84" i="1"/>
  <c r="Z84" i="1"/>
  <c r="U85" i="1"/>
  <c r="V85" i="1"/>
  <c r="W85" i="1"/>
  <c r="X85" i="1"/>
  <c r="Y85" i="1"/>
  <c r="Z85" i="1"/>
  <c r="U86" i="1"/>
  <c r="V86" i="1"/>
  <c r="W86" i="1"/>
  <c r="X86" i="1"/>
  <c r="Y86" i="1"/>
  <c r="Z86" i="1"/>
  <c r="U87" i="1"/>
  <c r="V87" i="1"/>
  <c r="W87" i="1"/>
  <c r="X87" i="1"/>
  <c r="Y87" i="1"/>
  <c r="Z87" i="1"/>
  <c r="U88" i="1"/>
  <c r="V88" i="1"/>
  <c r="W88" i="1"/>
  <c r="X88" i="1"/>
  <c r="Y88" i="1"/>
  <c r="Z88" i="1"/>
  <c r="U89" i="1"/>
  <c r="V89" i="1"/>
  <c r="W89" i="1"/>
  <c r="X89" i="1"/>
  <c r="Y89" i="1"/>
  <c r="Z89" i="1"/>
  <c r="U90" i="1"/>
  <c r="V90" i="1"/>
  <c r="W90" i="1"/>
  <c r="X90" i="1"/>
  <c r="Y90" i="1"/>
  <c r="Z90" i="1"/>
  <c r="U91" i="1"/>
  <c r="V91" i="1"/>
  <c r="W91" i="1"/>
  <c r="X91" i="1"/>
  <c r="Y91" i="1"/>
  <c r="Z91" i="1"/>
  <c r="U92" i="1"/>
  <c r="V92" i="1"/>
  <c r="W92" i="1"/>
  <c r="X92" i="1"/>
  <c r="Y92" i="1"/>
  <c r="Z92" i="1"/>
  <c r="U93" i="1"/>
  <c r="V93" i="1"/>
  <c r="W93" i="1"/>
  <c r="X93" i="1"/>
  <c r="Y93" i="1"/>
  <c r="Z93" i="1"/>
  <c r="U94" i="1"/>
  <c r="V94" i="1"/>
  <c r="W94" i="1"/>
  <c r="X94" i="1"/>
  <c r="Y94" i="1"/>
  <c r="Z94" i="1"/>
  <c r="U95" i="1"/>
  <c r="V95" i="1"/>
  <c r="W95" i="1"/>
  <c r="X95" i="1"/>
  <c r="Y95" i="1"/>
  <c r="Z95" i="1"/>
  <c r="U96" i="1"/>
  <c r="V96" i="1"/>
  <c r="W96" i="1"/>
  <c r="X96" i="1"/>
  <c r="Y96" i="1"/>
  <c r="Z96" i="1"/>
  <c r="U97" i="1"/>
  <c r="V97" i="1"/>
  <c r="W97" i="1"/>
  <c r="X97" i="1"/>
  <c r="Y97" i="1"/>
  <c r="Z97" i="1"/>
  <c r="U98" i="1"/>
  <c r="V98" i="1"/>
  <c r="W98" i="1"/>
  <c r="X98" i="1"/>
  <c r="Y98" i="1"/>
  <c r="Z98" i="1"/>
  <c r="U99" i="1"/>
  <c r="V99" i="1"/>
  <c r="W99" i="1"/>
  <c r="X99" i="1"/>
  <c r="Y99" i="1"/>
  <c r="Z99" i="1"/>
  <c r="U100" i="1"/>
  <c r="V100" i="1"/>
  <c r="W100" i="1"/>
  <c r="X100" i="1"/>
  <c r="Y100" i="1"/>
  <c r="Z100" i="1"/>
  <c r="U101" i="1"/>
  <c r="V101" i="1"/>
  <c r="W101" i="1"/>
  <c r="X101" i="1"/>
  <c r="Y101" i="1"/>
  <c r="Z101" i="1"/>
  <c r="D28" i="2"/>
  <c r="C28" i="2"/>
  <c r="B28" i="2"/>
  <c r="U102" i="1"/>
  <c r="V102" i="1"/>
  <c r="W102" i="1"/>
  <c r="X102" i="1"/>
  <c r="Y102" i="1"/>
  <c r="Z102" i="1"/>
  <c r="U103" i="1"/>
  <c r="V103" i="1"/>
  <c r="W103" i="1"/>
  <c r="X103" i="1"/>
  <c r="Y103" i="1"/>
  <c r="Z103" i="1"/>
  <c r="U104" i="1"/>
  <c r="V104" i="1"/>
  <c r="W104" i="1"/>
  <c r="X104" i="1"/>
  <c r="Y104" i="1"/>
  <c r="Z104" i="1"/>
  <c r="U105" i="1"/>
  <c r="V105" i="1"/>
  <c r="W105" i="1"/>
  <c r="X105" i="1"/>
  <c r="Y105" i="1"/>
  <c r="Z105" i="1"/>
  <c r="U106" i="1"/>
  <c r="V106" i="1"/>
  <c r="W106" i="1"/>
  <c r="X106" i="1"/>
  <c r="Y106" i="1"/>
  <c r="Z106" i="1"/>
  <c r="U107" i="1"/>
  <c r="V107" i="1"/>
  <c r="W107" i="1"/>
  <c r="X107" i="1"/>
  <c r="Y107" i="1"/>
  <c r="Z107" i="1"/>
  <c r="U108" i="1"/>
  <c r="V108" i="1"/>
  <c r="W108" i="1"/>
  <c r="X108" i="1"/>
  <c r="Y108" i="1"/>
  <c r="Z108" i="1"/>
  <c r="U109" i="1"/>
  <c r="V109" i="1"/>
  <c r="W109" i="1"/>
  <c r="X109" i="1"/>
  <c r="Y109" i="1"/>
  <c r="Z109" i="1"/>
  <c r="U110" i="1"/>
  <c r="V110" i="1"/>
  <c r="W110" i="1"/>
  <c r="X110" i="1"/>
  <c r="Y110" i="1"/>
  <c r="Z110" i="1"/>
  <c r="U111" i="1"/>
  <c r="V111" i="1"/>
  <c r="W111" i="1"/>
  <c r="X111" i="1"/>
  <c r="Y111" i="1"/>
  <c r="Z111" i="1"/>
  <c r="U112" i="1"/>
  <c r="V112" i="1"/>
  <c r="W112" i="1"/>
  <c r="X112" i="1"/>
  <c r="Y112" i="1"/>
  <c r="Z112" i="1"/>
  <c r="U113" i="1"/>
  <c r="V113" i="1"/>
  <c r="W113" i="1"/>
  <c r="X113" i="1"/>
  <c r="Y113" i="1"/>
  <c r="Z113" i="1"/>
  <c r="U114" i="1"/>
  <c r="V114" i="1"/>
  <c r="W114" i="1"/>
  <c r="X114" i="1"/>
  <c r="Y114" i="1"/>
  <c r="Z114" i="1"/>
  <c r="U115" i="1"/>
  <c r="V115" i="1"/>
  <c r="W115" i="1"/>
  <c r="X115" i="1"/>
  <c r="Y115" i="1"/>
  <c r="Z115" i="1"/>
  <c r="U116" i="1"/>
  <c r="V116" i="1"/>
  <c r="W116" i="1"/>
  <c r="X116" i="1"/>
  <c r="Y116" i="1"/>
  <c r="Z116" i="1"/>
  <c r="U117" i="1"/>
  <c r="V117" i="1"/>
  <c r="W117" i="1"/>
  <c r="X117" i="1"/>
  <c r="Y117" i="1"/>
  <c r="Z117" i="1"/>
  <c r="U118" i="1"/>
  <c r="V118" i="1"/>
  <c r="W118" i="1"/>
  <c r="X118" i="1"/>
  <c r="Y118" i="1"/>
  <c r="Z118" i="1"/>
  <c r="U119" i="1"/>
  <c r="V119" i="1"/>
  <c r="W119" i="1"/>
  <c r="X119" i="1"/>
  <c r="Y119" i="1"/>
  <c r="Z119" i="1"/>
  <c r="U120" i="1"/>
  <c r="V120" i="1"/>
  <c r="W120" i="1"/>
  <c r="X120" i="1"/>
  <c r="Y120" i="1"/>
  <c r="Z120" i="1"/>
  <c r="U121" i="1"/>
  <c r="V121" i="1"/>
  <c r="W121" i="1"/>
  <c r="X121" i="1"/>
  <c r="Y121" i="1"/>
  <c r="Z121" i="1"/>
  <c r="U122" i="1"/>
  <c r="V122" i="1"/>
  <c r="W122" i="1"/>
  <c r="X122" i="1"/>
  <c r="Y122" i="1"/>
  <c r="Z122" i="1"/>
  <c r="U123" i="1"/>
  <c r="V123" i="1"/>
  <c r="W123" i="1"/>
  <c r="X123" i="1"/>
  <c r="Y123" i="1"/>
  <c r="Z123" i="1"/>
  <c r="U124" i="1"/>
  <c r="V124" i="1"/>
  <c r="W124" i="1"/>
  <c r="X124" i="1"/>
  <c r="Y124" i="1"/>
  <c r="Z124" i="1"/>
  <c r="U125" i="1"/>
  <c r="V125" i="1"/>
  <c r="W125" i="1"/>
  <c r="X125" i="1"/>
  <c r="Y125" i="1"/>
  <c r="Z125" i="1"/>
  <c r="U126" i="1"/>
  <c r="V126" i="1"/>
  <c r="W126" i="1"/>
  <c r="X126" i="1"/>
  <c r="Y126" i="1"/>
  <c r="Z126" i="1"/>
  <c r="U127" i="1"/>
  <c r="V127" i="1"/>
  <c r="W127" i="1"/>
  <c r="X127" i="1"/>
  <c r="Y127" i="1"/>
  <c r="Z127" i="1"/>
  <c r="U128" i="1"/>
  <c r="V128" i="1"/>
  <c r="W128" i="1"/>
  <c r="X128" i="1"/>
  <c r="Y128" i="1"/>
  <c r="Z128" i="1"/>
  <c r="U129" i="1"/>
  <c r="V129" i="1"/>
  <c r="W129" i="1"/>
  <c r="X129" i="1"/>
  <c r="Y129" i="1"/>
  <c r="Z129" i="1"/>
  <c r="U130" i="1"/>
  <c r="V130" i="1"/>
  <c r="W130" i="1"/>
  <c r="X130" i="1"/>
  <c r="Y130" i="1"/>
  <c r="Z130" i="1"/>
  <c r="U131" i="1"/>
  <c r="V131" i="1"/>
  <c r="W131" i="1"/>
  <c r="X131" i="1"/>
  <c r="Y131" i="1"/>
  <c r="Z131" i="1"/>
  <c r="U132" i="1"/>
  <c r="V132" i="1"/>
  <c r="W132" i="1"/>
  <c r="X132" i="1"/>
  <c r="Y132" i="1"/>
  <c r="Z132" i="1"/>
  <c r="U133" i="1"/>
  <c r="V133" i="1"/>
  <c r="W133" i="1"/>
  <c r="X133" i="1"/>
  <c r="Y133" i="1"/>
  <c r="Z133" i="1"/>
  <c r="U134" i="1"/>
  <c r="V134" i="1"/>
  <c r="W134" i="1"/>
  <c r="X134" i="1"/>
  <c r="Y134" i="1"/>
  <c r="Z134" i="1"/>
  <c r="U135" i="1"/>
  <c r="V135" i="1"/>
  <c r="W135" i="1"/>
  <c r="X135" i="1"/>
  <c r="Y135" i="1"/>
  <c r="Z135" i="1"/>
  <c r="U136" i="1"/>
  <c r="V136" i="1"/>
  <c r="W136" i="1"/>
  <c r="X136" i="1"/>
  <c r="Y136" i="1"/>
  <c r="Z136" i="1"/>
  <c r="U137" i="1"/>
  <c r="V137" i="1"/>
  <c r="W137" i="1"/>
  <c r="X137" i="1"/>
  <c r="Y137" i="1"/>
  <c r="Z137" i="1"/>
  <c r="U138" i="1"/>
  <c r="V138" i="1"/>
  <c r="W138" i="1"/>
  <c r="X138" i="1"/>
  <c r="Y138" i="1"/>
  <c r="Z138" i="1"/>
  <c r="U139" i="1"/>
  <c r="V139" i="1"/>
  <c r="W139" i="1"/>
  <c r="X139" i="1"/>
  <c r="Y139" i="1"/>
  <c r="Z139" i="1"/>
  <c r="U140" i="1"/>
  <c r="V140" i="1"/>
  <c r="W140" i="1"/>
  <c r="X140" i="1"/>
  <c r="Y140" i="1"/>
  <c r="Z140" i="1"/>
  <c r="U141" i="1"/>
  <c r="V141" i="1"/>
  <c r="W141" i="1"/>
  <c r="X141" i="1"/>
  <c r="Y141" i="1"/>
  <c r="Z141" i="1"/>
  <c r="U142" i="1"/>
  <c r="V142" i="1"/>
  <c r="W142" i="1"/>
  <c r="X142" i="1"/>
  <c r="Y142" i="1"/>
  <c r="Z142" i="1"/>
  <c r="U143" i="1"/>
  <c r="V143" i="1"/>
  <c r="W143" i="1"/>
  <c r="X143" i="1"/>
  <c r="Y143" i="1"/>
  <c r="Z143" i="1"/>
  <c r="U144" i="1"/>
  <c r="V144" i="1"/>
  <c r="W144" i="1"/>
  <c r="X144" i="1"/>
  <c r="Y144" i="1"/>
  <c r="Z144" i="1"/>
  <c r="U145" i="1"/>
  <c r="V145" i="1"/>
  <c r="W145" i="1"/>
  <c r="X145" i="1"/>
  <c r="Y145" i="1"/>
  <c r="Z145" i="1"/>
  <c r="U146" i="1"/>
  <c r="V146" i="1"/>
  <c r="W146" i="1"/>
  <c r="X146" i="1"/>
  <c r="Y146" i="1"/>
  <c r="Z146" i="1"/>
  <c r="U147" i="1"/>
  <c r="V147" i="1"/>
  <c r="W147" i="1"/>
  <c r="X147" i="1"/>
  <c r="Y147" i="1"/>
  <c r="Z147" i="1"/>
  <c r="U148" i="1"/>
  <c r="V148" i="1"/>
  <c r="W148" i="1"/>
  <c r="X148" i="1"/>
  <c r="Y148" i="1"/>
  <c r="Z148" i="1"/>
  <c r="U149" i="1"/>
  <c r="V149" i="1"/>
  <c r="W149" i="1"/>
  <c r="X149" i="1"/>
  <c r="Y149" i="1"/>
  <c r="Z149" i="1"/>
  <c r="U150" i="1"/>
  <c r="V150" i="1"/>
  <c r="W150" i="1"/>
  <c r="X150" i="1"/>
  <c r="Y150" i="1"/>
  <c r="Z150" i="1"/>
  <c r="U151" i="1"/>
  <c r="V151" i="1"/>
  <c r="W151" i="1"/>
  <c r="X151" i="1"/>
  <c r="Y151" i="1"/>
  <c r="Z151" i="1"/>
  <c r="D26" i="2"/>
  <c r="C26" i="2"/>
  <c r="B26" i="2"/>
  <c r="B16" i="2"/>
  <c r="B17" i="2"/>
  <c r="B18" i="2"/>
  <c r="Z2" i="1"/>
  <c r="Y2" i="1"/>
  <c r="X2" i="1"/>
  <c r="W2" i="1"/>
  <c r="V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H26" i="1"/>
  <c r="H25" i="1"/>
  <c r="H24" i="1"/>
  <c r="H27" i="1" s="1"/>
  <c r="T2" i="1"/>
  <c r="H16" i="1" s="1"/>
  <c r="B19" i="2" l="1"/>
</calcChain>
</file>

<file path=xl/connections.xml><?xml version="1.0" encoding="utf-8"?>
<connections xmlns="http://schemas.openxmlformats.org/spreadsheetml/2006/main">
  <connection id="1" name="iris" type="6" refreshedVersion="6" background="1" saveData="1">
    <textPr codePage="437" sourceFile="C:\Users\renat\OneDrive\Área de Trabalho\Atividade_Kmeans\iris.data" decimal="," thousands=".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<sst xmlns="http://schemas.openxmlformats.org/spreadsheetml/2006/main" count="872" uniqueCount="143">
  <si>
    <t>Sepal Length</t>
  </si>
  <si>
    <t>Sepal Width</t>
  </si>
  <si>
    <t>Petal Length</t>
  </si>
  <si>
    <t>Petal Width</t>
  </si>
  <si>
    <t>Species</t>
  </si>
  <si>
    <t>Initial Centroids</t>
  </si>
  <si>
    <t>Distance K1</t>
  </si>
  <si>
    <t>Distance K2</t>
  </si>
  <si>
    <t>Distance K3</t>
  </si>
  <si>
    <t>Cluster ID</t>
  </si>
  <si>
    <t>D. K1 (It 2)</t>
  </si>
  <si>
    <t>D. K2 (It 2)</t>
  </si>
  <si>
    <t>D. K3 (It 2)</t>
  </si>
  <si>
    <t>Cluster ID (It 2)</t>
  </si>
  <si>
    <t>Converged?</t>
  </si>
  <si>
    <t>K1 Petal Length</t>
  </si>
  <si>
    <t>K1 Petal Width</t>
  </si>
  <si>
    <t>K2 Petal Length</t>
  </si>
  <si>
    <t>K2 Petal Width</t>
  </si>
  <si>
    <t>K3 Petal Length</t>
  </si>
  <si>
    <t>K3 Petal Width</t>
  </si>
  <si>
    <t>5.1</t>
  </si>
  <si>
    <t>3.5</t>
  </si>
  <si>
    <t>1.4</t>
  </si>
  <si>
    <t>0.2</t>
  </si>
  <si>
    <t>Iris-setosa</t>
  </si>
  <si>
    <t>K1</t>
  </si>
  <si>
    <t>4.3</t>
  </si>
  <si>
    <t>3.0</t>
  </si>
  <si>
    <t>1.1</t>
  </si>
  <si>
    <t>0.1</t>
  </si>
  <si>
    <t>4.9</t>
  </si>
  <si>
    <t>K2</t>
  </si>
  <si>
    <t>6.8</t>
  </si>
  <si>
    <t>2.8</t>
  </si>
  <si>
    <t>4.8</t>
  </si>
  <si>
    <t>4.7</t>
  </si>
  <si>
    <t>3.2</t>
  </si>
  <si>
    <t>1.3</t>
  </si>
  <si>
    <t>K3</t>
  </si>
  <si>
    <t>6.9</t>
  </si>
  <si>
    <t>5.7</t>
  </si>
  <si>
    <t>2.3</t>
  </si>
  <si>
    <t>4.6</t>
  </si>
  <si>
    <t>3.1</t>
  </si>
  <si>
    <t>1.5</t>
  </si>
  <si>
    <t>5.0</t>
  </si>
  <si>
    <t>3.6</t>
  </si>
  <si>
    <t>New Centroids (Iteration 1)</t>
  </si>
  <si>
    <t>5.4</t>
  </si>
  <si>
    <t>3.9</t>
  </si>
  <si>
    <t>1.7</t>
  </si>
  <si>
    <t>0.4</t>
  </si>
  <si>
    <t>3.4</t>
  </si>
  <si>
    <t>0.3</t>
  </si>
  <si>
    <t>4.4</t>
  </si>
  <si>
    <t>2.9</t>
  </si>
  <si>
    <t>Iteration 2 Centroids</t>
  </si>
  <si>
    <t>3.7</t>
  </si>
  <si>
    <t>1.6</t>
  </si>
  <si>
    <t>5.8</t>
  </si>
  <si>
    <t>4.0</t>
  </si>
  <si>
    <t>1.2</t>
  </si>
  <si>
    <t>Total Converged Points</t>
  </si>
  <si>
    <t>Final Centroids</t>
  </si>
  <si>
    <t>3.8</t>
  </si>
  <si>
    <t>Flower Count per Cluster</t>
  </si>
  <si>
    <t>1.0</t>
  </si>
  <si>
    <t>3.3</t>
  </si>
  <si>
    <t>0.5</t>
  </si>
  <si>
    <t>1.9</t>
  </si>
  <si>
    <t>Total</t>
  </si>
  <si>
    <t>5.2</t>
  </si>
  <si>
    <t>4.1</t>
  </si>
  <si>
    <t>5.5</t>
  </si>
  <si>
    <t>4.2</t>
  </si>
  <si>
    <t>4.5</t>
  </si>
  <si>
    <t>0.6</t>
  </si>
  <si>
    <t>5.3</t>
  </si>
  <si>
    <t>7.0</t>
  </si>
  <si>
    <t>Iris-versicolor</t>
  </si>
  <si>
    <t>6.4</t>
  </si>
  <si>
    <t>6.5</t>
  </si>
  <si>
    <t>6.3</t>
  </si>
  <si>
    <t>2.4</t>
  </si>
  <si>
    <t>6.6</t>
  </si>
  <si>
    <t>2.7</t>
  </si>
  <si>
    <t>2.0</t>
  </si>
  <si>
    <t>5.9</t>
  </si>
  <si>
    <t>6.0</t>
  </si>
  <si>
    <t>2.2</t>
  </si>
  <si>
    <t>6.1</t>
  </si>
  <si>
    <t>5.6</t>
  </si>
  <si>
    <t>6.7</t>
  </si>
  <si>
    <t>6.2</t>
  </si>
  <si>
    <t>2.5</t>
  </si>
  <si>
    <t>1.8</t>
  </si>
  <si>
    <t>2.6</t>
  </si>
  <si>
    <t>Iris-virginica</t>
  </si>
  <si>
    <t>7.1</t>
  </si>
  <si>
    <t>2.1</t>
  </si>
  <si>
    <t>7.6</t>
  </si>
  <si>
    <t>7.3</t>
  </si>
  <si>
    <t>7.2</t>
  </si>
  <si>
    <t>7.7</t>
  </si>
  <si>
    <t>7.4</t>
  </si>
  <si>
    <t>7.9</t>
  </si>
  <si>
    <t>Questão 1: Quantas iterações foram necessárias até o algoritmo convergir? Descreva o processo de convergência observado.</t>
  </si>
  <si>
    <t>O algoritmo K-means convergiu na 2ª iteração.</t>
  </si>
  <si>
    <t>A convergência ocorre quando os centroides param de se mover e a atribuição dos pontos não muda entre duas iterações consecutivas.</t>
  </si>
  <si>
    <t xml:space="preserve">Na comparação entre o Cluster ID da Iteração 1 (Coluna O) e da Iteração 2 (Coluna S), todos os 150 pontos mantiveram a mesma atribuição. </t>
  </si>
  <si>
    <t>A soma da coluna "Converged?" (Coluna T) foi igual a 150, confirmando a estabilidade do modelo e o fim do ciclo.</t>
  </si>
  <si>
    <t>Questão 2: Quantas flores foram atribuídas a cada cluster? Apresente a distribuição final.</t>
  </si>
  <si>
    <t>A distribuição final dos 150 pontos de dados nos três clusters foi obtida pela contagem da coluna "Cluster ID (It 2)" (Coluna S). Cada valor representa quantas flores foram atribuídas a K1, K2 e K3, somando 150 no total.</t>
  </si>
  <si>
    <t>Cluster</t>
  </si>
  <si>
    <t>Contagem De Flores</t>
  </si>
  <si>
    <t>Questão 3: Os clusters formados correspondem às espécies reais das flores? Crie uma tabela cruzada mostrando essa comparação.</t>
  </si>
  <si>
    <t>Para medir a qualidade do agrupamento, comparamos o Cluster ID Final (Coluna S) com a Espécie Real (Coluna E) usando uma Tabela Cruzada (Matriz de Confusão).</t>
  </si>
  <si>
    <t>Espécie Real</t>
  </si>
  <si>
    <t>Cluster ID = 1</t>
  </si>
  <si>
    <t>Cluster ID = 2</t>
  </si>
  <si>
    <t>Cluster ID = 3</t>
  </si>
  <si>
    <t>Iris-Setosa</t>
  </si>
  <si>
    <t>Iris-Versicolor</t>
  </si>
  <si>
    <t>Iris-Virginica</t>
  </si>
  <si>
    <t>Pode-se observar que o agrupamento foi muito bom para Iris-Setosa (Separação perfeita)</t>
  </si>
  <si>
    <t>A tabeba mostra uma mistura entre Iris-Versicolor e Iris-Virginica, visto que essas espécies são difíceis de diferenciar</t>
  </si>
  <si>
    <t>Questão 4: O que aconteceria se você escolhesse diferentes centroides iniciais?</t>
  </si>
  <si>
    <t>A escolha dos centroides iniciais afeta o resultado final do K-means</t>
  </si>
  <si>
    <t>O K-means é sensível, isto é, converge para o ótimo local mais próximo do ponto de partida</t>
  </si>
  <si>
    <t>Diferentes centroides iniciais levam a diferentes ótimos locais, o que leva a resultado final diferente</t>
  </si>
  <si>
    <t>Em datasets complexos, isso pode gerar agrupamentos ruins</t>
  </si>
  <si>
    <t>Questão 5: Por que usamos apenas 2 características (Comprimento e Largura da Sépala) em vez de todas as 4? Quais seriam as vantagens e desvantagens de usar todas as características?</t>
  </si>
  <si>
    <t>Usa-se 2 características no gráfico para melhor visualização 2D do resultado. No cálculo do K-means (Distância Euclidiana) usou-se as 4 características para garantir precisão</t>
  </si>
  <si>
    <t>Vantagem de usar 4 Características</t>
  </si>
  <si>
    <t>Precisão máxima no agrupamento, visto que as dimensões da pétala são as mais importantes para distinguir as espécies</t>
  </si>
  <si>
    <t>Desvantagem de usar 4 Características</t>
  </si>
  <si>
    <t>O resultado final do modelo 4D não pode ser plotado em um gráfico 2D, não sendo possível visualizar graficamente</t>
  </si>
  <si>
    <t>Questão 6: Implemente o K-means usando todas as 4 características. Adapte as fórmulas para calcular distâncias euclidianas em 4 dimensões. Como os resultados mudam?</t>
  </si>
  <si>
    <t>O resultado melhorou bastante. Usar 4 dimensões permite que o algoritmo K-means encontre a solução mais precisa e robusta</t>
  </si>
  <si>
    <t>visto que dimensão da pétala é a mais importante para diferenciar as espécies</t>
  </si>
  <si>
    <t>Alterando a equação da distância Euclidiana para 4 dimensões, isto é, utilizando as 4 colunas, temos</t>
  </si>
  <si>
    <t>Distância 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</si>
</sst>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</font>
    <font>
      <b/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 indent="1"/>
    </xf>
    <xf numFmtId="0" fontId="2" fillId="0" borderId="2" xfId="0" applyFont="1" applyBorder="1" applyAlignment="1">
      <alignment horizontal="center" indent="1"/>
    </xf>
    <xf numFmtId="0" fontId="3" fillId="0" borderId="2" xfId="0" applyFont="1" applyBorder="1" applyAlignment="1">
      <alignment horizontal="center" vertical="center"/>
    </xf>
    <xf numFmtId="0" fontId="1" fillId="0" borderId="0" xfId="0" applyFont="1"/>
    <xf numFmtId="0" fontId="0" fillId="0" borderId="0" xfId="0" applyFont="1"/>
    <xf numFmtId="0" fontId="0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Clustering of Iris Data (Petal Length vs. Petal Width)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strRef>
              <c:f>'Data &amp; K-means'!$U$2:$U$151</c:f>
              <c:strCache>
                <c:ptCount val="99"/>
                <c:pt idx="0">
                  <c:v>1,40</c:v>
                </c:pt>
                <c:pt idx="1">
                  <c:v>1,40</c:v>
                </c:pt>
                <c:pt idx="2">
                  <c:v>1,30</c:v>
                </c:pt>
                <c:pt idx="3">
                  <c:v>1,50</c:v>
                </c:pt>
                <c:pt idx="4">
                  <c:v>1,40</c:v>
                </c:pt>
                <c:pt idx="5">
                  <c:v>1,70</c:v>
                </c:pt>
                <c:pt idx="6">
                  <c:v>1,40</c:v>
                </c:pt>
                <c:pt idx="7">
                  <c:v>1,50</c:v>
                </c:pt>
                <c:pt idx="8">
                  <c:v>1,40</c:v>
                </c:pt>
                <c:pt idx="9">
                  <c:v>1,50</c:v>
                </c:pt>
                <c:pt idx="10">
                  <c:v>1,50</c:v>
                </c:pt>
                <c:pt idx="11">
                  <c:v>1,60</c:v>
                </c:pt>
                <c:pt idx="12">
                  <c:v>1,40</c:v>
                </c:pt>
                <c:pt idx="13">
                  <c:v>1,10</c:v>
                </c:pt>
                <c:pt idx="14">
                  <c:v>1,20</c:v>
                </c:pt>
                <c:pt idx="15">
                  <c:v>1,50</c:v>
                </c:pt>
                <c:pt idx="16">
                  <c:v>1,30</c:v>
                </c:pt>
                <c:pt idx="17">
                  <c:v>1,40</c:v>
                </c:pt>
                <c:pt idx="18">
                  <c:v>1,70</c:v>
                </c:pt>
                <c:pt idx="19">
                  <c:v>1,50</c:v>
                </c:pt>
                <c:pt idx="20">
                  <c:v>1,70</c:v>
                </c:pt>
                <c:pt idx="21">
                  <c:v>1,50</c:v>
                </c:pt>
                <c:pt idx="22">
                  <c:v>1,00</c:v>
                </c:pt>
                <c:pt idx="23">
                  <c:v>1,70</c:v>
                </c:pt>
                <c:pt idx="24">
                  <c:v>1,90</c:v>
                </c:pt>
                <c:pt idx="25">
                  <c:v>1,60</c:v>
                </c:pt>
                <c:pt idx="26">
                  <c:v>1,60</c:v>
                </c:pt>
                <c:pt idx="27">
                  <c:v>1,50</c:v>
                </c:pt>
                <c:pt idx="28">
                  <c:v>1,40</c:v>
                </c:pt>
                <c:pt idx="29">
                  <c:v>1,60</c:v>
                </c:pt>
                <c:pt idx="30">
                  <c:v>1,60</c:v>
                </c:pt>
                <c:pt idx="31">
                  <c:v>1,50</c:v>
                </c:pt>
                <c:pt idx="32">
                  <c:v>1,50</c:v>
                </c:pt>
                <c:pt idx="33">
                  <c:v>1,40</c:v>
                </c:pt>
                <c:pt idx="34">
                  <c:v>1,50</c:v>
                </c:pt>
                <c:pt idx="35">
                  <c:v>1,20</c:v>
                </c:pt>
                <c:pt idx="36">
                  <c:v>1,30</c:v>
                </c:pt>
                <c:pt idx="37">
                  <c:v>1,50</c:v>
                </c:pt>
                <c:pt idx="38">
                  <c:v>1,30</c:v>
                </c:pt>
                <c:pt idx="39">
                  <c:v>1,50</c:v>
                </c:pt>
                <c:pt idx="40">
                  <c:v>1,30</c:v>
                </c:pt>
                <c:pt idx="41">
                  <c:v>1,30</c:v>
                </c:pt>
                <c:pt idx="42">
                  <c:v>1,30</c:v>
                </c:pt>
                <c:pt idx="43">
                  <c:v>1,60</c:v>
                </c:pt>
                <c:pt idx="44">
                  <c:v>1,90</c:v>
                </c:pt>
                <c:pt idx="45">
                  <c:v>1,40</c:v>
                </c:pt>
                <c:pt idx="46">
                  <c:v>1,60</c:v>
                </c:pt>
                <c:pt idx="47">
                  <c:v>1,40</c:v>
                </c:pt>
                <c:pt idx="48">
                  <c:v>1,50</c:v>
                </c:pt>
                <c:pt idx="49">
                  <c:v>1,40</c:v>
                </c:pt>
                <c:pt idx="98">
                  <c:v>3,00</c:v>
                </c:pt>
              </c:strCache>
            </c:strRef>
          </c:xVal>
          <c:yVal>
            <c:numRef>
              <c:f>'Data &amp; K-means'!$V$2:$V$151</c:f>
              <c:numCache>
                <c:formatCode>0.00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0.1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1.1000000000000001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{"K1"}</c15:sqref>
                        </c15:formulaRef>
                      </c:ext>
                    </c:extLst>
                    <c:strCache>
                      <c:ptCount val="1"/>
                      <c:pt idx="0">
                        <c:v>K1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4ED-45EA-AA07-3CCE65523DC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strRef>
              <c:f>'Data &amp; K-means'!$W$2:$W$151</c:f>
              <c:strCache>
                <c:ptCount val="150"/>
                <c:pt idx="50">
                  <c:v>4,70</c:v>
                </c:pt>
                <c:pt idx="51">
                  <c:v>4,50</c:v>
                </c:pt>
                <c:pt idx="52">
                  <c:v>4,90</c:v>
                </c:pt>
                <c:pt idx="53">
                  <c:v>4,00</c:v>
                </c:pt>
                <c:pt idx="54">
                  <c:v>4,60</c:v>
                </c:pt>
                <c:pt idx="55">
                  <c:v>4,50</c:v>
                </c:pt>
                <c:pt idx="56">
                  <c:v>4,70</c:v>
                </c:pt>
                <c:pt idx="57">
                  <c:v>3,30</c:v>
                </c:pt>
                <c:pt idx="58">
                  <c:v>4,60</c:v>
                </c:pt>
                <c:pt idx="59">
                  <c:v>3,90</c:v>
                </c:pt>
                <c:pt idx="60">
                  <c:v>3,50</c:v>
                </c:pt>
                <c:pt idx="61">
                  <c:v>4,20</c:v>
                </c:pt>
                <c:pt idx="62">
                  <c:v>4,00</c:v>
                </c:pt>
                <c:pt idx="63">
                  <c:v>4,70</c:v>
                </c:pt>
                <c:pt idx="64">
                  <c:v>3,60</c:v>
                </c:pt>
                <c:pt idx="65">
                  <c:v>4,40</c:v>
                </c:pt>
                <c:pt idx="66">
                  <c:v>4,50</c:v>
                </c:pt>
                <c:pt idx="67">
                  <c:v>4,10</c:v>
                </c:pt>
                <c:pt idx="68">
                  <c:v>4,50</c:v>
                </c:pt>
                <c:pt idx="69">
                  <c:v>3,90</c:v>
                </c:pt>
                <c:pt idx="70">
                  <c:v>4,80</c:v>
                </c:pt>
                <c:pt idx="71">
                  <c:v>4,00</c:v>
                </c:pt>
                <c:pt idx="72">
                  <c:v>4,90</c:v>
                </c:pt>
                <c:pt idx="73">
                  <c:v>4,70</c:v>
                </c:pt>
                <c:pt idx="74">
                  <c:v>4,30</c:v>
                </c:pt>
                <c:pt idx="75">
                  <c:v>4,40</c:v>
                </c:pt>
                <c:pt idx="76">
                  <c:v>4,80</c:v>
                </c:pt>
                <c:pt idx="77">
                  <c:v>5,00</c:v>
                </c:pt>
                <c:pt idx="78">
                  <c:v>4,50</c:v>
                </c:pt>
                <c:pt idx="79">
                  <c:v>3,50</c:v>
                </c:pt>
                <c:pt idx="80">
                  <c:v>3,80</c:v>
                </c:pt>
                <c:pt idx="81">
                  <c:v>3,70</c:v>
                </c:pt>
                <c:pt idx="82">
                  <c:v>3,90</c:v>
                </c:pt>
                <c:pt idx="83">
                  <c:v>5,10</c:v>
                </c:pt>
                <c:pt idx="84">
                  <c:v>4,50</c:v>
                </c:pt>
                <c:pt idx="85">
                  <c:v>4,50</c:v>
                </c:pt>
                <c:pt idx="86">
                  <c:v>4,70</c:v>
                </c:pt>
                <c:pt idx="87">
                  <c:v>4,40</c:v>
                </c:pt>
                <c:pt idx="88">
                  <c:v>4,10</c:v>
                </c:pt>
                <c:pt idx="89">
                  <c:v>4,00</c:v>
                </c:pt>
                <c:pt idx="90">
                  <c:v>4,40</c:v>
                </c:pt>
                <c:pt idx="91">
                  <c:v>4,60</c:v>
                </c:pt>
                <c:pt idx="92">
                  <c:v>4,00</c:v>
                </c:pt>
                <c:pt idx="93">
                  <c:v>3,30</c:v>
                </c:pt>
                <c:pt idx="94">
                  <c:v>4,20</c:v>
                </c:pt>
                <c:pt idx="95">
                  <c:v>4,20</c:v>
                </c:pt>
                <c:pt idx="96">
                  <c:v>4,20</c:v>
                </c:pt>
                <c:pt idx="97">
                  <c:v>4,30</c:v>
                </c:pt>
                <c:pt idx="99">
                  <c:v>4,10</c:v>
                </c:pt>
                <c:pt idx="101">
                  <c:v>5,10</c:v>
                </c:pt>
                <c:pt idx="106">
                  <c:v>4,50</c:v>
                </c:pt>
                <c:pt idx="111">
                  <c:v>5,30</c:v>
                </c:pt>
                <c:pt idx="113">
                  <c:v>5,00</c:v>
                </c:pt>
                <c:pt idx="119">
                  <c:v>5,00</c:v>
                </c:pt>
                <c:pt idx="121">
                  <c:v>4,90</c:v>
                </c:pt>
                <c:pt idx="123">
                  <c:v>4,90</c:v>
                </c:pt>
                <c:pt idx="126">
                  <c:v>4,80</c:v>
                </c:pt>
                <c:pt idx="127">
                  <c:v>4,90</c:v>
                </c:pt>
                <c:pt idx="133">
                  <c:v>5,10</c:v>
                </c:pt>
                <c:pt idx="134">
                  <c:v>5,60</c:v>
                </c:pt>
                <c:pt idx="138">
                  <c:v>4,80</c:v>
                </c:pt>
                <c:pt idx="142">
                  <c:v>5,10</c:v>
                </c:pt>
                <c:pt idx="146">
                  <c:v>5,00</c:v>
                </c:pt>
                <c:pt idx="149">
                  <c:v>5,10</c:v>
                </c:pt>
              </c:strCache>
            </c:strRef>
          </c:xVal>
          <c:yVal>
            <c:numRef>
              <c:f>'Data &amp; K-means'!$X$2:$X$151</c:f>
              <c:numCache>
                <c:formatCode>0.00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1.4</c:v>
                </c:pt>
                <c:pt idx="51">
                  <c:v>1.5</c:v>
                </c:pt>
                <c:pt idx="52">
                  <c:v>1.5</c:v>
                </c:pt>
                <c:pt idx="53">
                  <c:v>1.3</c:v>
                </c:pt>
                <c:pt idx="54">
                  <c:v>1.5</c:v>
                </c:pt>
                <c:pt idx="55">
                  <c:v>1.3</c:v>
                </c:pt>
                <c:pt idx="56">
                  <c:v>1.6</c:v>
                </c:pt>
                <c:pt idx="57">
                  <c:v>1</c:v>
                </c:pt>
                <c:pt idx="58">
                  <c:v>1.3</c:v>
                </c:pt>
                <c:pt idx="59">
                  <c:v>1.4</c:v>
                </c:pt>
                <c:pt idx="60">
                  <c:v>1</c:v>
                </c:pt>
                <c:pt idx="61">
                  <c:v>1.5</c:v>
                </c:pt>
                <c:pt idx="62">
                  <c:v>1</c:v>
                </c:pt>
                <c:pt idx="63">
                  <c:v>1.4</c:v>
                </c:pt>
                <c:pt idx="64">
                  <c:v>1.3</c:v>
                </c:pt>
                <c:pt idx="65">
                  <c:v>1.4</c:v>
                </c:pt>
                <c:pt idx="66">
                  <c:v>1.5</c:v>
                </c:pt>
                <c:pt idx="67">
                  <c:v>1</c:v>
                </c:pt>
                <c:pt idx="68">
                  <c:v>1.5</c:v>
                </c:pt>
                <c:pt idx="69">
                  <c:v>1.1000000000000001</c:v>
                </c:pt>
                <c:pt idx="70">
                  <c:v>1.8</c:v>
                </c:pt>
                <c:pt idx="71">
                  <c:v>1.3</c:v>
                </c:pt>
                <c:pt idx="72">
                  <c:v>1.5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1.4</c:v>
                </c:pt>
                <c:pt idx="77">
                  <c:v>1.7</c:v>
                </c:pt>
                <c:pt idx="78">
                  <c:v>1.5</c:v>
                </c:pt>
                <c:pt idx="79">
                  <c:v>1</c:v>
                </c:pt>
                <c:pt idx="80">
                  <c:v>1.1000000000000001</c:v>
                </c:pt>
                <c:pt idx="81">
                  <c:v>1</c:v>
                </c:pt>
                <c:pt idx="82">
                  <c:v>1.2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1.5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1.2</c:v>
                </c:pt>
                <c:pt idx="91">
                  <c:v>1.4</c:v>
                </c:pt>
                <c:pt idx="92">
                  <c:v>1.2</c:v>
                </c:pt>
                <c:pt idx="93">
                  <c:v>1</c:v>
                </c:pt>
                <c:pt idx="94">
                  <c:v>1.3</c:v>
                </c:pt>
                <c:pt idx="95">
                  <c:v>1.2</c:v>
                </c:pt>
                <c:pt idx="96">
                  <c:v>1.3</c:v>
                </c:pt>
                <c:pt idx="97">
                  <c:v>1.3</c:v>
                </c:pt>
                <c:pt idx="98">
                  <c:v>0</c:v>
                </c:pt>
                <c:pt idx="99">
                  <c:v>1.3</c:v>
                </c:pt>
                <c:pt idx="100">
                  <c:v>0</c:v>
                </c:pt>
                <c:pt idx="101">
                  <c:v>1.9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1.7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1.9</c:v>
                </c:pt>
                <c:pt idx="112">
                  <c:v>0</c:v>
                </c:pt>
                <c:pt idx="113">
                  <c:v>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1.5</c:v>
                </c:pt>
                <c:pt idx="120">
                  <c:v>0</c:v>
                </c:pt>
                <c:pt idx="121">
                  <c:v>2</c:v>
                </c:pt>
                <c:pt idx="122">
                  <c:v>0</c:v>
                </c:pt>
                <c:pt idx="123">
                  <c:v>1.8</c:v>
                </c:pt>
                <c:pt idx="124">
                  <c:v>0</c:v>
                </c:pt>
                <c:pt idx="125">
                  <c:v>0</c:v>
                </c:pt>
                <c:pt idx="126">
                  <c:v>1.8</c:v>
                </c:pt>
                <c:pt idx="127">
                  <c:v>1.8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1.5</c:v>
                </c:pt>
                <c:pt idx="134">
                  <c:v>1.4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1.9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1.9</c:v>
                </c:pt>
                <c:pt idx="147">
                  <c:v>0</c:v>
                </c:pt>
                <c:pt idx="148">
                  <c:v>0</c:v>
                </c:pt>
                <c:pt idx="149">
                  <c:v>1.8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{"K2"}</c15:sqref>
                        </c15:formulaRef>
                      </c:ext>
                    </c:extLst>
                    <c:strCache>
                      <c:ptCount val="1"/>
                      <c:pt idx="0">
                        <c:v>K2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24ED-45EA-AA07-3CCE65523DC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strRef>
              <c:f>'Data &amp; K-means'!$Y$2:$Y$151</c:f>
              <c:strCache>
                <c:ptCount val="149"/>
                <c:pt idx="100">
                  <c:v>6,00</c:v>
                </c:pt>
                <c:pt idx="102">
                  <c:v>5,90</c:v>
                </c:pt>
                <c:pt idx="103">
                  <c:v>5,60</c:v>
                </c:pt>
                <c:pt idx="104">
                  <c:v>5,80</c:v>
                </c:pt>
                <c:pt idx="105">
                  <c:v>6,60</c:v>
                </c:pt>
                <c:pt idx="107">
                  <c:v>6,30</c:v>
                </c:pt>
                <c:pt idx="108">
                  <c:v>5,80</c:v>
                </c:pt>
                <c:pt idx="109">
                  <c:v>6,10</c:v>
                </c:pt>
                <c:pt idx="110">
                  <c:v>5,10</c:v>
                </c:pt>
                <c:pt idx="112">
                  <c:v>5,50</c:v>
                </c:pt>
                <c:pt idx="114">
                  <c:v>5,10</c:v>
                </c:pt>
                <c:pt idx="115">
                  <c:v>5,30</c:v>
                </c:pt>
                <c:pt idx="116">
                  <c:v>5,50</c:v>
                </c:pt>
                <c:pt idx="117">
                  <c:v>6,70</c:v>
                </c:pt>
                <c:pt idx="118">
                  <c:v>6,90</c:v>
                </c:pt>
                <c:pt idx="120">
                  <c:v>5,70</c:v>
                </c:pt>
                <c:pt idx="122">
                  <c:v>6,70</c:v>
                </c:pt>
                <c:pt idx="124">
                  <c:v>5,70</c:v>
                </c:pt>
                <c:pt idx="125">
                  <c:v>6,00</c:v>
                </c:pt>
                <c:pt idx="128">
                  <c:v>5,60</c:v>
                </c:pt>
                <c:pt idx="129">
                  <c:v>5,80</c:v>
                </c:pt>
                <c:pt idx="130">
                  <c:v>6,10</c:v>
                </c:pt>
                <c:pt idx="131">
                  <c:v>6,40</c:v>
                </c:pt>
                <c:pt idx="132">
                  <c:v>5,60</c:v>
                </c:pt>
                <c:pt idx="135">
                  <c:v>6,10</c:v>
                </c:pt>
                <c:pt idx="136">
                  <c:v>5,60</c:v>
                </c:pt>
                <c:pt idx="137">
                  <c:v>5,50</c:v>
                </c:pt>
                <c:pt idx="139">
                  <c:v>5,40</c:v>
                </c:pt>
                <c:pt idx="140">
                  <c:v>5,60</c:v>
                </c:pt>
                <c:pt idx="141">
                  <c:v>5,10</c:v>
                </c:pt>
                <c:pt idx="143">
                  <c:v>5,90</c:v>
                </c:pt>
                <c:pt idx="144">
                  <c:v>5,70</c:v>
                </c:pt>
                <c:pt idx="145">
                  <c:v>5,20</c:v>
                </c:pt>
                <c:pt idx="147">
                  <c:v>5,20</c:v>
                </c:pt>
                <c:pt idx="148">
                  <c:v>5,40</c:v>
                </c:pt>
              </c:strCache>
            </c:strRef>
          </c:xVal>
          <c:yVal>
            <c:numRef>
              <c:f>'Data &amp; K-means'!$Z$2:$Z$151</c:f>
              <c:numCache>
                <c:formatCode>0.00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2.5</c:v>
                </c:pt>
                <c:pt idx="101">
                  <c:v>0</c:v>
                </c:pt>
                <c:pt idx="102">
                  <c:v>2.1</c:v>
                </c:pt>
                <c:pt idx="103">
                  <c:v>1.8</c:v>
                </c:pt>
                <c:pt idx="104">
                  <c:v>2.2000000000000002</c:v>
                </c:pt>
                <c:pt idx="105">
                  <c:v>2.1</c:v>
                </c:pt>
                <c:pt idx="106">
                  <c:v>0</c:v>
                </c:pt>
                <c:pt idx="107">
                  <c:v>1.8</c:v>
                </c:pt>
                <c:pt idx="108">
                  <c:v>1.8</c:v>
                </c:pt>
                <c:pt idx="109">
                  <c:v>2.5</c:v>
                </c:pt>
                <c:pt idx="110">
                  <c:v>2</c:v>
                </c:pt>
                <c:pt idx="111">
                  <c:v>0</c:v>
                </c:pt>
                <c:pt idx="112">
                  <c:v>2.1</c:v>
                </c:pt>
                <c:pt idx="113">
                  <c:v>0</c:v>
                </c:pt>
                <c:pt idx="114">
                  <c:v>2.4</c:v>
                </c:pt>
                <c:pt idx="115">
                  <c:v>2.2999999999999998</c:v>
                </c:pt>
                <c:pt idx="116">
                  <c:v>1.8</c:v>
                </c:pt>
                <c:pt idx="117">
                  <c:v>2.2000000000000002</c:v>
                </c:pt>
                <c:pt idx="118">
                  <c:v>2.2999999999999998</c:v>
                </c:pt>
                <c:pt idx="119">
                  <c:v>0</c:v>
                </c:pt>
                <c:pt idx="120">
                  <c:v>2.2999999999999998</c:v>
                </c:pt>
                <c:pt idx="121">
                  <c:v>0</c:v>
                </c:pt>
                <c:pt idx="122">
                  <c:v>2</c:v>
                </c:pt>
                <c:pt idx="123">
                  <c:v>0</c:v>
                </c:pt>
                <c:pt idx="124">
                  <c:v>2.1</c:v>
                </c:pt>
                <c:pt idx="125">
                  <c:v>1.8</c:v>
                </c:pt>
                <c:pt idx="126">
                  <c:v>0</c:v>
                </c:pt>
                <c:pt idx="127">
                  <c:v>0</c:v>
                </c:pt>
                <c:pt idx="128">
                  <c:v>2.1</c:v>
                </c:pt>
                <c:pt idx="129">
                  <c:v>1.6</c:v>
                </c:pt>
                <c:pt idx="130">
                  <c:v>1.9</c:v>
                </c:pt>
                <c:pt idx="131">
                  <c:v>2</c:v>
                </c:pt>
                <c:pt idx="132">
                  <c:v>2.2000000000000002</c:v>
                </c:pt>
                <c:pt idx="133">
                  <c:v>0</c:v>
                </c:pt>
                <c:pt idx="134">
                  <c:v>0</c:v>
                </c:pt>
                <c:pt idx="135">
                  <c:v>2.2999999999999998</c:v>
                </c:pt>
                <c:pt idx="136">
                  <c:v>2.4</c:v>
                </c:pt>
                <c:pt idx="137">
                  <c:v>1.8</c:v>
                </c:pt>
                <c:pt idx="138">
                  <c:v>0</c:v>
                </c:pt>
                <c:pt idx="139">
                  <c:v>2.1</c:v>
                </c:pt>
                <c:pt idx="140">
                  <c:v>2.4</c:v>
                </c:pt>
                <c:pt idx="141">
                  <c:v>2.2999999999999998</c:v>
                </c:pt>
                <c:pt idx="142">
                  <c:v>0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2.2999999999999998</c:v>
                </c:pt>
                <c:pt idx="146">
                  <c:v>0</c:v>
                </c:pt>
                <c:pt idx="147">
                  <c:v>2</c:v>
                </c:pt>
                <c:pt idx="148">
                  <c:v>2.2999999999999998</c:v>
                </c:pt>
                <c:pt idx="149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{"K3"}</c15:sqref>
                        </c15:formulaRef>
                      </c:ext>
                    </c:extLst>
                    <c:strCache>
                      <c:ptCount val="1"/>
                      <c:pt idx="0">
                        <c:v>K3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24ED-45EA-AA07-3CCE65523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600520"/>
        <c:axId val="591548424"/>
      </c:scatterChart>
      <c:valAx>
        <c:axId val="521600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Petal Length (cm)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548424"/>
        <c:crosses val="autoZero"/>
        <c:crossBetween val="midCat"/>
      </c:valAx>
      <c:valAx>
        <c:axId val="59154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Petal Width (cm)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1600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57150</xdr:colOff>
      <xdr:row>0</xdr:row>
      <xdr:rowOff>123825</xdr:rowOff>
    </xdr:from>
    <xdr:to>
      <xdr:col>42</xdr:col>
      <xdr:colOff>38100</xdr:colOff>
      <xdr:row>39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D0E5DC-3C4B-060D-E0F6-091E2E24D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iri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1"/>
  <sheetViews>
    <sheetView tabSelected="1" topLeftCell="Y1" zoomScale="67" zoomScaleNormal="67" workbookViewId="0">
      <selection activeCell="AT13" sqref="AT13"/>
    </sheetView>
  </sheetViews>
  <sheetFormatPr defaultColWidth="9" defaultRowHeight="14.25"/>
  <cols>
    <col min="1" max="1" width="11.875" style="2" bestFit="1" customWidth="1"/>
    <col min="2" max="2" width="11.125" style="2" bestFit="1" customWidth="1"/>
    <col min="3" max="3" width="11" style="2" bestFit="1" customWidth="1"/>
    <col min="4" max="4" width="10.25" style="2" bestFit="1" customWidth="1"/>
    <col min="5" max="5" width="11.75" style="2" bestFit="1" customWidth="1"/>
    <col min="6" max="6" width="9" style="2"/>
    <col min="7" max="7" width="23.875" style="2" bestFit="1" customWidth="1"/>
    <col min="8" max="8" width="15.875" style="2" customWidth="1"/>
    <col min="9" max="9" width="16.875" style="2" customWidth="1"/>
    <col min="10" max="10" width="12.625" style="2" customWidth="1"/>
    <col min="11" max="11" width="10.375" style="2" customWidth="1"/>
    <col min="12" max="14" width="12.25" style="2" bestFit="1" customWidth="1"/>
    <col min="15" max="18" width="9" style="2"/>
    <col min="19" max="19" width="16.125" style="2" customWidth="1"/>
    <col min="20" max="20" width="18" style="2" customWidth="1"/>
    <col min="21" max="21" width="16" style="2" customWidth="1"/>
    <col min="22" max="22" width="11.875" style="2" customWidth="1"/>
    <col min="23" max="23" width="12.375" style="2" customWidth="1"/>
    <col min="24" max="24" width="13" style="2" customWidth="1"/>
    <col min="25" max="25" width="17.625" style="2" customWidth="1"/>
    <col min="26" max="26" width="15" style="2" customWidth="1"/>
    <col min="27" max="16384" width="9" style="2"/>
  </cols>
  <sheetData>
    <row r="1" spans="1:29" s="8" customFormat="1">
      <c r="A1" s="5" t="s">
        <v>0</v>
      </c>
      <c r="B1" s="5" t="s">
        <v>1</v>
      </c>
      <c r="C1" s="5" t="s">
        <v>2</v>
      </c>
      <c r="D1" s="7" t="s">
        <v>3</v>
      </c>
      <c r="E1" s="1" t="s">
        <v>4</v>
      </c>
      <c r="G1" s="3" t="s">
        <v>5</v>
      </c>
      <c r="H1" s="5" t="s">
        <v>0</v>
      </c>
      <c r="I1" s="5" t="s">
        <v>1</v>
      </c>
      <c r="J1" s="5" t="s">
        <v>2</v>
      </c>
      <c r="K1" s="7" t="s">
        <v>3</v>
      </c>
      <c r="L1" s="6" t="s">
        <v>6</v>
      </c>
      <c r="M1" s="6" t="s">
        <v>7</v>
      </c>
      <c r="N1" s="6" t="s">
        <v>8</v>
      </c>
      <c r="O1" s="13" t="s">
        <v>9</v>
      </c>
      <c r="P1" s="10" t="s">
        <v>10</v>
      </c>
      <c r="Q1" s="10" t="s">
        <v>11</v>
      </c>
      <c r="R1" s="11" t="s">
        <v>12</v>
      </c>
      <c r="S1" s="9" t="s">
        <v>13</v>
      </c>
      <c r="T1" s="13" t="s">
        <v>14</v>
      </c>
      <c r="U1" s="9" t="s">
        <v>15</v>
      </c>
      <c r="V1" s="9" t="s">
        <v>16</v>
      </c>
      <c r="W1" s="9" t="s">
        <v>17</v>
      </c>
      <c r="X1" s="9" t="s">
        <v>18</v>
      </c>
      <c r="Y1" s="9" t="s">
        <v>19</v>
      </c>
      <c r="Z1" s="9" t="s">
        <v>20</v>
      </c>
    </row>
    <row r="2" spans="1:29" s="8" customFormat="1">
      <c r="A2" s="14" t="s">
        <v>21</v>
      </c>
      <c r="B2" s="14" t="s">
        <v>22</v>
      </c>
      <c r="C2" s="14" t="s">
        <v>23</v>
      </c>
      <c r="D2" s="14" t="s">
        <v>24</v>
      </c>
      <c r="E2" s="1" t="s">
        <v>25</v>
      </c>
      <c r="G2" s="4" t="s">
        <v>26</v>
      </c>
      <c r="H2" s="14" t="s">
        <v>27</v>
      </c>
      <c r="I2" s="14" t="s">
        <v>28</v>
      </c>
      <c r="J2" s="14" t="s">
        <v>29</v>
      </c>
      <c r="K2" s="15" t="s">
        <v>30</v>
      </c>
      <c r="L2" s="16">
        <f>SQRT(POWER(A2-$H$2,2) + POWER(B2-$I$2,2) + POWER(C2-$J$2,2) + POWER(D2-$K$2,2))</f>
        <v>0.99498743710661974</v>
      </c>
      <c r="M2" s="16">
        <f>SQRT(POWER(A2-$H$3,2) + POWER(B2-$I$3,2) + POWER(C2-$J$3,2) + POWER(D2-$K$3,2))</f>
        <v>4.0472212689696123</v>
      </c>
      <c r="N2" s="16">
        <f>SQRT(POWER(A2-$H$4,2) + POWER(B2-$I$4,2) + POWER(C2-$J$4,2) + POWER(D2-$K$4,2))</f>
        <v>5.1215232109207518</v>
      </c>
      <c r="O2" s="17">
        <f>MATCH(MIN(L2:N2), L2:N2, 0)</f>
        <v>1</v>
      </c>
      <c r="P2" s="16">
        <f>SQRT(POWER(A2-$H$12,2) + POWER(B2-$I$12,2) + POWER(C2-$J$12,2) + POWER(D2-$K$12,2))</f>
        <v>0.99498743710661974</v>
      </c>
      <c r="Q2" s="16">
        <f>SQRT(POWER(A2-$H$13,2) + POWER(B2-$I$13,2) + POWER(C2-$J$13,2) + POWER(D2-$K$13,2))</f>
        <v>4.0472212689696123</v>
      </c>
      <c r="R2" s="17">
        <f>SQRT(POWER(A2-$H$14,2) + POWER(B2-$I$14,2) + POWER(C2-$J$14,2) + POWER(D2-$K$14,2))</f>
        <v>5.1215232109207518</v>
      </c>
      <c r="S2" s="16">
        <f>MATCH(MIN(P2:R2), P2:R2, 0)</f>
        <v>1</v>
      </c>
      <c r="T2" s="17">
        <f>IF(O2=S2, 1, 0)</f>
        <v>1</v>
      </c>
      <c r="U2" s="18">
        <f t="shared" ref="U2:U33" si="0">IF($S2=1,$C2+0,"")</f>
        <v>1.4</v>
      </c>
      <c r="V2" s="18">
        <f t="shared" ref="V2:V33" si="1">IF($S2=1,$D2+0,"")</f>
        <v>0.2</v>
      </c>
      <c r="W2" s="18" t="str">
        <f t="shared" ref="W2:W33" si="2">IF($S2=2,$C2+0,"")</f>
        <v/>
      </c>
      <c r="X2" s="18" t="str">
        <f t="shared" ref="X2:X33" si="3">IF($S2=2,$D2+0,"")</f>
        <v/>
      </c>
      <c r="Y2" s="18" t="str">
        <f t="shared" ref="Y2:Y33" si="4">IF($S2=3,$C2+0,"")</f>
        <v/>
      </c>
      <c r="Z2" s="18" t="str">
        <f t="shared" ref="Z2:Z33" si="5">IF($S2=3,$D2+0,"")</f>
        <v/>
      </c>
      <c r="AA2" s="20"/>
    </row>
    <row r="3" spans="1:29" s="8" customFormat="1">
      <c r="A3" s="14" t="s">
        <v>31</v>
      </c>
      <c r="B3" s="14" t="s">
        <v>28</v>
      </c>
      <c r="C3" s="14" t="s">
        <v>23</v>
      </c>
      <c r="D3" s="14" t="s">
        <v>24</v>
      </c>
      <c r="E3" s="1" t="s">
        <v>25</v>
      </c>
      <c r="G3" s="4" t="s">
        <v>32</v>
      </c>
      <c r="H3" s="14" t="s">
        <v>33</v>
      </c>
      <c r="I3" s="14" t="s">
        <v>34</v>
      </c>
      <c r="J3" s="14" t="s">
        <v>35</v>
      </c>
      <c r="K3" s="15" t="s">
        <v>23</v>
      </c>
      <c r="L3" s="16">
        <f t="shared" ref="L3:L66" si="6">SQRT(POWER(A3-$H$2,2) + POWER(B3-$I$2,2) + POWER(C3-$J$2,2) + POWER(D3-$K$2,2))</f>
        <v>0.67823299831252726</v>
      </c>
      <c r="M3" s="16">
        <f t="shared" ref="M3:M66" si="7">SQRT(POWER(A3-$H$3,2) + POWER(B3-$I$3,2) + POWER(C3-$J$3,2) + POWER(D3-$K$3,2))</f>
        <v>4.080441152620633</v>
      </c>
      <c r="N3" s="16">
        <f t="shared" ref="N3:N66" si="8">SQRT(POWER(A3-$H$4,2) + POWER(B3-$I$4,2) + POWER(C3-$J$4,2) + POWER(D3-$K$4,2))</f>
        <v>5.1903757089443925</v>
      </c>
      <c r="O3" s="17">
        <f t="shared" ref="O3:O66" si="9">MATCH(MIN(L3:N3), L3:N3, 0)</f>
        <v>1</v>
      </c>
      <c r="P3" s="16">
        <f t="shared" ref="P3:P66" si="10">SQRT(POWER(A3-$H$12,2) + POWER(B3-$I$12,2) + POWER(C3-$J$12,2) + POWER(D3-$K$12,2))</f>
        <v>0.67823299831252726</v>
      </c>
      <c r="Q3" s="16">
        <f t="shared" ref="Q3:Q66" si="11">SQRT(POWER(A3-$H$13,2) + POWER(B3-$I$13,2) + POWER(C3-$J$13,2) + POWER(D3-$K$13,2))</f>
        <v>4.080441152620633</v>
      </c>
      <c r="R3" s="17">
        <f t="shared" ref="R3:R66" si="12">SQRT(POWER(A3-$H$14,2) + POWER(B3-$I$14,2) + POWER(C3-$J$14,2) + POWER(D3-$K$14,2))</f>
        <v>5.1903757089443925</v>
      </c>
      <c r="S3" s="16">
        <f t="shared" ref="S3:S66" si="13">MATCH(MIN(P3:R3), P3:R3, 0)</f>
        <v>1</v>
      </c>
      <c r="T3" s="17">
        <f t="shared" ref="T3:T66" si="14">IF(O3=S3, 1, 0)</f>
        <v>1</v>
      </c>
      <c r="U3" s="18">
        <f t="shared" si="0"/>
        <v>1.4</v>
      </c>
      <c r="V3" s="18">
        <f t="shared" si="1"/>
        <v>0.2</v>
      </c>
      <c r="W3" s="18" t="str">
        <f t="shared" si="2"/>
        <v/>
      </c>
      <c r="X3" s="18" t="str">
        <f t="shared" si="3"/>
        <v/>
      </c>
      <c r="Y3" s="18" t="str">
        <f t="shared" si="4"/>
        <v/>
      </c>
      <c r="Z3" s="18" t="str">
        <f t="shared" si="5"/>
        <v/>
      </c>
      <c r="AA3" s="20"/>
      <c r="AC3" s="20"/>
    </row>
    <row r="4" spans="1:29" s="8" customFormat="1">
      <c r="A4" s="14" t="s">
        <v>36</v>
      </c>
      <c r="B4" s="14" t="s">
        <v>37</v>
      </c>
      <c r="C4" s="14" t="s">
        <v>38</v>
      </c>
      <c r="D4" s="14" t="s">
        <v>24</v>
      </c>
      <c r="E4" s="1" t="s">
        <v>25</v>
      </c>
      <c r="G4" s="4" t="s">
        <v>39</v>
      </c>
      <c r="H4" s="14" t="s">
        <v>40</v>
      </c>
      <c r="I4" s="14" t="s">
        <v>37</v>
      </c>
      <c r="J4" s="14" t="s">
        <v>41</v>
      </c>
      <c r="K4" s="15" t="s">
        <v>42</v>
      </c>
      <c r="L4" s="16">
        <f t="shared" si="6"/>
        <v>0.50000000000000033</v>
      </c>
      <c r="M4" s="16">
        <f t="shared" si="7"/>
        <v>4.2731721238442999</v>
      </c>
      <c r="N4" s="16">
        <f t="shared" si="8"/>
        <v>5.3488316481265326</v>
      </c>
      <c r="O4" s="17">
        <f t="shared" si="9"/>
        <v>1</v>
      </c>
      <c r="P4" s="16">
        <f t="shared" si="10"/>
        <v>0.50000000000000033</v>
      </c>
      <c r="Q4" s="16">
        <f t="shared" si="11"/>
        <v>4.2731721238442999</v>
      </c>
      <c r="R4" s="17">
        <f t="shared" si="12"/>
        <v>5.3488316481265326</v>
      </c>
      <c r="S4" s="16">
        <f t="shared" si="13"/>
        <v>1</v>
      </c>
      <c r="T4" s="17">
        <f t="shared" si="14"/>
        <v>1</v>
      </c>
      <c r="U4" s="18">
        <f t="shared" si="0"/>
        <v>1.3</v>
      </c>
      <c r="V4" s="18">
        <f t="shared" si="1"/>
        <v>0.2</v>
      </c>
      <c r="W4" s="18" t="str">
        <f t="shared" si="2"/>
        <v/>
      </c>
      <c r="X4" s="18" t="str">
        <f t="shared" si="3"/>
        <v/>
      </c>
      <c r="Y4" s="18" t="str">
        <f t="shared" si="4"/>
        <v/>
      </c>
      <c r="Z4" s="18" t="str">
        <f t="shared" si="5"/>
        <v/>
      </c>
      <c r="AA4" s="20"/>
    </row>
    <row r="5" spans="1:29" s="8" customFormat="1">
      <c r="A5" s="14" t="s">
        <v>43</v>
      </c>
      <c r="B5" s="14" t="s">
        <v>44</v>
      </c>
      <c r="C5" s="14" t="s">
        <v>45</v>
      </c>
      <c r="D5" s="14" t="s">
        <v>24</v>
      </c>
      <c r="E5" s="1" t="s">
        <v>25</v>
      </c>
      <c r="L5" s="16">
        <f t="shared" si="6"/>
        <v>0.51961524227066302</v>
      </c>
      <c r="M5" s="16">
        <f t="shared" si="7"/>
        <v>4.1545156155681982</v>
      </c>
      <c r="N5" s="16">
        <f t="shared" si="8"/>
        <v>5.2297227459971527</v>
      </c>
      <c r="O5" s="17">
        <f t="shared" si="9"/>
        <v>1</v>
      </c>
      <c r="P5" s="16">
        <f t="shared" si="10"/>
        <v>0.51961524227066302</v>
      </c>
      <c r="Q5" s="16">
        <f t="shared" si="11"/>
        <v>4.1545156155681982</v>
      </c>
      <c r="R5" s="17">
        <f t="shared" si="12"/>
        <v>5.2297227459971527</v>
      </c>
      <c r="S5" s="16">
        <f t="shared" si="13"/>
        <v>1</v>
      </c>
      <c r="T5" s="17">
        <f t="shared" si="14"/>
        <v>1</v>
      </c>
      <c r="U5" s="18">
        <f t="shared" si="0"/>
        <v>1.5</v>
      </c>
      <c r="V5" s="18">
        <f t="shared" si="1"/>
        <v>0.2</v>
      </c>
      <c r="W5" s="18" t="str">
        <f t="shared" si="2"/>
        <v/>
      </c>
      <c r="X5" s="18" t="str">
        <f t="shared" si="3"/>
        <v/>
      </c>
      <c r="Y5" s="18" t="str">
        <f t="shared" si="4"/>
        <v/>
      </c>
      <c r="Z5" s="18" t="str">
        <f t="shared" si="5"/>
        <v/>
      </c>
      <c r="AA5" s="20"/>
    </row>
    <row r="6" spans="1:29" s="8" customFormat="1">
      <c r="A6" s="14" t="s">
        <v>46</v>
      </c>
      <c r="B6" s="14" t="s">
        <v>47</v>
      </c>
      <c r="C6" s="14" t="s">
        <v>23</v>
      </c>
      <c r="D6" s="14" t="s">
        <v>24</v>
      </c>
      <c r="E6" s="1" t="s">
        <v>25</v>
      </c>
      <c r="G6" s="9" t="s">
        <v>48</v>
      </c>
      <c r="H6" s="5" t="s">
        <v>0</v>
      </c>
      <c r="I6" s="5" t="s">
        <v>1</v>
      </c>
      <c r="J6" s="5" t="s">
        <v>2</v>
      </c>
      <c r="K6" s="7" t="s">
        <v>3</v>
      </c>
      <c r="L6" s="16">
        <f t="shared" si="6"/>
        <v>0.97467943448089644</v>
      </c>
      <c r="M6" s="16">
        <f t="shared" si="7"/>
        <v>4.1085277168348275</v>
      </c>
      <c r="N6" s="16">
        <f t="shared" si="8"/>
        <v>5.1643005334701426</v>
      </c>
      <c r="O6" s="17">
        <f t="shared" si="9"/>
        <v>1</v>
      </c>
      <c r="P6" s="16">
        <f t="shared" si="10"/>
        <v>0.97467943448089644</v>
      </c>
      <c r="Q6" s="16">
        <f t="shared" si="11"/>
        <v>4.1085277168348275</v>
      </c>
      <c r="R6" s="17">
        <f t="shared" si="12"/>
        <v>5.1643005334701426</v>
      </c>
      <c r="S6" s="16">
        <f t="shared" si="13"/>
        <v>1</v>
      </c>
      <c r="T6" s="17">
        <f t="shared" si="14"/>
        <v>1</v>
      </c>
      <c r="U6" s="18">
        <f t="shared" si="0"/>
        <v>1.4</v>
      </c>
      <c r="V6" s="18">
        <f t="shared" si="1"/>
        <v>0.2</v>
      </c>
      <c r="W6" s="18" t="str">
        <f t="shared" si="2"/>
        <v/>
      </c>
      <c r="X6" s="18" t="str">
        <f t="shared" si="3"/>
        <v/>
      </c>
      <c r="Y6" s="18" t="str">
        <f t="shared" si="4"/>
        <v/>
      </c>
      <c r="Z6" s="18" t="str">
        <f t="shared" si="5"/>
        <v/>
      </c>
      <c r="AA6" s="20"/>
    </row>
    <row r="7" spans="1:29" s="8" customFormat="1">
      <c r="A7" s="14" t="s">
        <v>49</v>
      </c>
      <c r="B7" s="14" t="s">
        <v>50</v>
      </c>
      <c r="C7" s="14" t="s">
        <v>51</v>
      </c>
      <c r="D7" s="14" t="s">
        <v>52</v>
      </c>
      <c r="E7" s="1" t="s">
        <v>25</v>
      </c>
      <c r="G7" s="9" t="s">
        <v>26</v>
      </c>
      <c r="H7" s="16" t="str">
        <f>IFERROR(AVERAGEIF($O$2:$O$151, 1, $A$2:$A$151), H2)</f>
        <v>4.3</v>
      </c>
      <c r="I7" s="16" t="str">
        <f>IFERROR(AVERAGEIF($O$2:$O$151, 1, $B$2:$B$151), I2)</f>
        <v>3.0</v>
      </c>
      <c r="J7" s="16" t="str">
        <f>IFERROR(AVERAGEIF($O$2:$O$151, 1, $C$2:$C$151), J2)</f>
        <v>1.1</v>
      </c>
      <c r="K7" s="17" t="str">
        <f>IFERROR(AVERAGEIF($O$2:$O$151, 1, $D$2:$D$151), K2)</f>
        <v>0.1</v>
      </c>
      <c r="L7" s="16">
        <f t="shared" si="6"/>
        <v>1.5716233645501714</v>
      </c>
      <c r="M7" s="16">
        <f t="shared" si="7"/>
        <v>3.7121422386541165</v>
      </c>
      <c r="N7" s="16">
        <f t="shared" si="8"/>
        <v>4.7275786614291251</v>
      </c>
      <c r="O7" s="17">
        <f t="shared" si="9"/>
        <v>1</v>
      </c>
      <c r="P7" s="16">
        <f t="shared" si="10"/>
        <v>1.5716233645501714</v>
      </c>
      <c r="Q7" s="16">
        <f t="shared" si="11"/>
        <v>3.7121422386541165</v>
      </c>
      <c r="R7" s="17">
        <f t="shared" si="12"/>
        <v>4.7275786614291251</v>
      </c>
      <c r="S7" s="16">
        <f t="shared" si="13"/>
        <v>1</v>
      </c>
      <c r="T7" s="17">
        <f t="shared" si="14"/>
        <v>1</v>
      </c>
      <c r="U7" s="18">
        <f t="shared" si="0"/>
        <v>1.7</v>
      </c>
      <c r="V7" s="18">
        <f t="shared" si="1"/>
        <v>0.4</v>
      </c>
      <c r="W7" s="18" t="str">
        <f t="shared" si="2"/>
        <v/>
      </c>
      <c r="X7" s="18" t="str">
        <f t="shared" si="3"/>
        <v/>
      </c>
      <c r="Y7" s="18" t="str">
        <f t="shared" si="4"/>
        <v/>
      </c>
      <c r="Z7" s="18" t="str">
        <f t="shared" si="5"/>
        <v/>
      </c>
      <c r="AA7" s="20"/>
    </row>
    <row r="8" spans="1:29" s="8" customFormat="1">
      <c r="A8" s="14" t="s">
        <v>43</v>
      </c>
      <c r="B8" s="14" t="s">
        <v>53</v>
      </c>
      <c r="C8" s="14" t="s">
        <v>23</v>
      </c>
      <c r="D8" s="14" t="s">
        <v>54</v>
      </c>
      <c r="E8" s="1" t="s">
        <v>25</v>
      </c>
      <c r="G8" s="9" t="s">
        <v>32</v>
      </c>
      <c r="H8" s="16" t="str">
        <f>IFERROR(AVERAGEIF($O$2:$O$151, 2, $A$2:$A$151), H3)</f>
        <v>6.8</v>
      </c>
      <c r="I8" s="16" t="str">
        <f>IFERROR(AVERAGEIF($O$2:$O$151, 2, $B$2:$B$151), I3)</f>
        <v>2.8</v>
      </c>
      <c r="J8" s="16" t="str">
        <f>IFERROR(AVERAGEIF($O$2:$O$151, 2, $C$2:$C$151), J3)</f>
        <v>4.8</v>
      </c>
      <c r="K8" s="17" t="str">
        <f>IFERROR(AVERAGEIF($O$2:$O$151, 2, $D$2:$D$151), K3)</f>
        <v>1.4</v>
      </c>
      <c r="L8" s="16">
        <f t="shared" si="6"/>
        <v>0.61644140029689742</v>
      </c>
      <c r="M8" s="16">
        <f t="shared" si="7"/>
        <v>4.2391036788453285</v>
      </c>
      <c r="N8" s="16">
        <f t="shared" si="8"/>
        <v>5.2744667976962383</v>
      </c>
      <c r="O8" s="17">
        <f t="shared" si="9"/>
        <v>1</v>
      </c>
      <c r="P8" s="16">
        <f t="shared" si="10"/>
        <v>0.61644140029689742</v>
      </c>
      <c r="Q8" s="16">
        <f t="shared" si="11"/>
        <v>4.2391036788453285</v>
      </c>
      <c r="R8" s="17">
        <f t="shared" si="12"/>
        <v>5.2744667976962383</v>
      </c>
      <c r="S8" s="16">
        <f t="shared" si="13"/>
        <v>1</v>
      </c>
      <c r="T8" s="17">
        <f t="shared" si="14"/>
        <v>1</v>
      </c>
      <c r="U8" s="18">
        <f t="shared" si="0"/>
        <v>1.4</v>
      </c>
      <c r="V8" s="18">
        <f t="shared" si="1"/>
        <v>0.3</v>
      </c>
      <c r="W8" s="18" t="str">
        <f t="shared" si="2"/>
        <v/>
      </c>
      <c r="X8" s="18" t="str">
        <f t="shared" si="3"/>
        <v/>
      </c>
      <c r="Y8" s="18" t="str">
        <f t="shared" si="4"/>
        <v/>
      </c>
      <c r="Z8" s="18" t="str">
        <f t="shared" si="5"/>
        <v/>
      </c>
      <c r="AA8" s="20"/>
    </row>
    <row r="9" spans="1:29" s="8" customFormat="1">
      <c r="A9" s="14" t="s">
        <v>46</v>
      </c>
      <c r="B9" s="14" t="s">
        <v>53</v>
      </c>
      <c r="C9" s="14" t="s">
        <v>45</v>
      </c>
      <c r="D9" s="14" t="s">
        <v>24</v>
      </c>
      <c r="E9" s="1" t="s">
        <v>25</v>
      </c>
      <c r="G9" s="9" t="s">
        <v>39</v>
      </c>
      <c r="H9" s="16" t="str">
        <f>IFERROR(AVERAGEIF($O$2:$O$151, 3, $A$2:$A$151), H4)</f>
        <v>6.9</v>
      </c>
      <c r="I9" s="16" t="str">
        <f>IFERROR(AVERAGEIF($O$2:$O$151, 3, $B$2:$B$151), I4)</f>
        <v>3.2</v>
      </c>
      <c r="J9" s="16" t="str">
        <f>IFERROR(AVERAGEIF($O$2:$O$151, 3, $C$2:$C$151), J4)</f>
        <v>5.7</v>
      </c>
      <c r="K9" s="17" t="str">
        <f>IFERROR(AVERAGEIF($O$2:$O$151, 3, $D$2:$D$151), K4)</f>
        <v>2.3</v>
      </c>
      <c r="L9" s="16">
        <f t="shared" si="6"/>
        <v>0.90553851381374173</v>
      </c>
      <c r="M9" s="16">
        <f t="shared" si="7"/>
        <v>3.9912404086950208</v>
      </c>
      <c r="N9" s="16">
        <f t="shared" si="8"/>
        <v>5.0695167422546303</v>
      </c>
      <c r="O9" s="17">
        <f t="shared" si="9"/>
        <v>1</v>
      </c>
      <c r="P9" s="16">
        <f t="shared" si="10"/>
        <v>0.90553851381374173</v>
      </c>
      <c r="Q9" s="16">
        <f t="shared" si="11"/>
        <v>3.9912404086950208</v>
      </c>
      <c r="R9" s="17">
        <f t="shared" si="12"/>
        <v>5.0695167422546303</v>
      </c>
      <c r="S9" s="16">
        <f t="shared" si="13"/>
        <v>1</v>
      </c>
      <c r="T9" s="17">
        <f t="shared" si="14"/>
        <v>1</v>
      </c>
      <c r="U9" s="18">
        <f t="shared" si="0"/>
        <v>1.5</v>
      </c>
      <c r="V9" s="18">
        <f t="shared" si="1"/>
        <v>0.2</v>
      </c>
      <c r="W9" s="18" t="str">
        <f t="shared" si="2"/>
        <v/>
      </c>
      <c r="X9" s="18" t="str">
        <f t="shared" si="3"/>
        <v/>
      </c>
      <c r="Y9" s="18" t="str">
        <f t="shared" si="4"/>
        <v/>
      </c>
      <c r="Z9" s="18" t="str">
        <f t="shared" si="5"/>
        <v/>
      </c>
      <c r="AA9" s="20"/>
    </row>
    <row r="10" spans="1:29" s="8" customFormat="1">
      <c r="A10" s="14" t="s">
        <v>55</v>
      </c>
      <c r="B10" s="14" t="s">
        <v>56</v>
      </c>
      <c r="C10" s="14" t="s">
        <v>23</v>
      </c>
      <c r="D10" s="14" t="s">
        <v>24</v>
      </c>
      <c r="E10" s="1" t="s">
        <v>25</v>
      </c>
      <c r="L10" s="16">
        <f t="shared" si="6"/>
        <v>0.34641016151377552</v>
      </c>
      <c r="M10" s="16">
        <f t="shared" si="7"/>
        <v>4.3324358044868934</v>
      </c>
      <c r="N10" s="16">
        <f t="shared" si="8"/>
        <v>5.4074023338383101</v>
      </c>
      <c r="O10" s="17">
        <f t="shared" si="9"/>
        <v>1</v>
      </c>
      <c r="P10" s="16">
        <f t="shared" si="10"/>
        <v>0.34641016151377552</v>
      </c>
      <c r="Q10" s="16">
        <f t="shared" si="11"/>
        <v>4.3324358044868934</v>
      </c>
      <c r="R10" s="17">
        <f t="shared" si="12"/>
        <v>5.4074023338383101</v>
      </c>
      <c r="S10" s="16">
        <f t="shared" si="13"/>
        <v>1</v>
      </c>
      <c r="T10" s="17">
        <f t="shared" si="14"/>
        <v>1</v>
      </c>
      <c r="U10" s="18">
        <f t="shared" si="0"/>
        <v>1.4</v>
      </c>
      <c r="V10" s="18">
        <f t="shared" si="1"/>
        <v>0.2</v>
      </c>
      <c r="W10" s="18" t="str">
        <f t="shared" si="2"/>
        <v/>
      </c>
      <c r="X10" s="18" t="str">
        <f t="shared" si="3"/>
        <v/>
      </c>
      <c r="Y10" s="18" t="str">
        <f t="shared" si="4"/>
        <v/>
      </c>
      <c r="Z10" s="18" t="str">
        <f t="shared" si="5"/>
        <v/>
      </c>
      <c r="AA10" s="20"/>
    </row>
    <row r="11" spans="1:29" s="8" customFormat="1">
      <c r="A11" s="14" t="s">
        <v>31</v>
      </c>
      <c r="B11" s="14" t="s">
        <v>44</v>
      </c>
      <c r="C11" s="14" t="s">
        <v>45</v>
      </c>
      <c r="D11" s="14" t="s">
        <v>30</v>
      </c>
      <c r="E11" s="1" t="s">
        <v>25</v>
      </c>
      <c r="G11" s="9" t="s">
        <v>57</v>
      </c>
      <c r="H11" s="5" t="s">
        <v>0</v>
      </c>
      <c r="I11" s="5" t="s">
        <v>1</v>
      </c>
      <c r="J11" s="5" t="s">
        <v>2</v>
      </c>
      <c r="K11" s="5" t="s">
        <v>3</v>
      </c>
      <c r="L11" s="19">
        <f t="shared" si="6"/>
        <v>0.72801098892805227</v>
      </c>
      <c r="M11" s="16">
        <f t="shared" si="7"/>
        <v>4.0348482003664019</v>
      </c>
      <c r="N11" s="16">
        <f t="shared" si="8"/>
        <v>5.1468436929831078</v>
      </c>
      <c r="O11" s="17">
        <f t="shared" si="9"/>
        <v>1</v>
      </c>
      <c r="P11" s="16">
        <f t="shared" si="10"/>
        <v>0.72801098892805227</v>
      </c>
      <c r="Q11" s="16">
        <f t="shared" si="11"/>
        <v>4.0348482003664019</v>
      </c>
      <c r="R11" s="17">
        <f t="shared" si="12"/>
        <v>5.1468436929831078</v>
      </c>
      <c r="S11" s="16">
        <f t="shared" si="13"/>
        <v>1</v>
      </c>
      <c r="T11" s="17">
        <f t="shared" si="14"/>
        <v>1</v>
      </c>
      <c r="U11" s="18">
        <f t="shared" si="0"/>
        <v>1.5</v>
      </c>
      <c r="V11" s="18">
        <f t="shared" si="1"/>
        <v>0.1</v>
      </c>
      <c r="W11" s="18" t="str">
        <f t="shared" si="2"/>
        <v/>
      </c>
      <c r="X11" s="18" t="str">
        <f t="shared" si="3"/>
        <v/>
      </c>
      <c r="Y11" s="18" t="str">
        <f t="shared" si="4"/>
        <v/>
      </c>
      <c r="Z11" s="18" t="str">
        <f t="shared" si="5"/>
        <v/>
      </c>
      <c r="AA11" s="20"/>
    </row>
    <row r="12" spans="1:29" s="8" customFormat="1">
      <c r="A12" s="14" t="s">
        <v>49</v>
      </c>
      <c r="B12" s="14" t="s">
        <v>58</v>
      </c>
      <c r="C12" s="14" t="s">
        <v>45</v>
      </c>
      <c r="D12" s="14" t="s">
        <v>24</v>
      </c>
      <c r="E12" s="1" t="s">
        <v>25</v>
      </c>
      <c r="G12" s="9" t="s">
        <v>26</v>
      </c>
      <c r="H12" s="16" t="str">
        <f>H7</f>
        <v>4.3</v>
      </c>
      <c r="I12" s="16" t="str">
        <f>I7</f>
        <v>3.0</v>
      </c>
      <c r="J12" s="16" t="str">
        <f>J7</f>
        <v>1.1</v>
      </c>
      <c r="K12" s="16" t="str">
        <f>K7</f>
        <v>0.1</v>
      </c>
      <c r="L12" s="19">
        <f t="shared" si="6"/>
        <v>1.3674794331177347</v>
      </c>
      <c r="M12" s="16">
        <f t="shared" si="7"/>
        <v>3.8858718455450894</v>
      </c>
      <c r="N12" s="16">
        <f t="shared" si="8"/>
        <v>4.9547956567349978</v>
      </c>
      <c r="O12" s="17">
        <f t="shared" si="9"/>
        <v>1</v>
      </c>
      <c r="P12" s="16">
        <f t="shared" si="10"/>
        <v>1.3674794331177347</v>
      </c>
      <c r="Q12" s="16">
        <f t="shared" si="11"/>
        <v>3.8858718455450894</v>
      </c>
      <c r="R12" s="17">
        <f t="shared" si="12"/>
        <v>4.9547956567349978</v>
      </c>
      <c r="S12" s="16">
        <f t="shared" si="13"/>
        <v>1</v>
      </c>
      <c r="T12" s="17">
        <f t="shared" si="14"/>
        <v>1</v>
      </c>
      <c r="U12" s="18">
        <f t="shared" si="0"/>
        <v>1.5</v>
      </c>
      <c r="V12" s="18">
        <f t="shared" si="1"/>
        <v>0.2</v>
      </c>
      <c r="W12" s="18" t="str">
        <f t="shared" si="2"/>
        <v/>
      </c>
      <c r="X12" s="18" t="str">
        <f t="shared" si="3"/>
        <v/>
      </c>
      <c r="Y12" s="18" t="str">
        <f t="shared" si="4"/>
        <v/>
      </c>
      <c r="Z12" s="18" t="str">
        <f t="shared" si="5"/>
        <v/>
      </c>
      <c r="AA12" s="20"/>
    </row>
    <row r="13" spans="1:29" s="8" customFormat="1">
      <c r="A13" s="14" t="s">
        <v>35</v>
      </c>
      <c r="B13" s="14" t="s">
        <v>53</v>
      </c>
      <c r="C13" s="14" t="s">
        <v>59</v>
      </c>
      <c r="D13" s="14" t="s">
        <v>24</v>
      </c>
      <c r="E13" s="1" t="s">
        <v>25</v>
      </c>
      <c r="G13" s="9" t="s">
        <v>32</v>
      </c>
      <c r="H13" s="16" t="str">
        <f t="shared" ref="H13:K13" si="15">H8</f>
        <v>6.8</v>
      </c>
      <c r="I13" s="16" t="str">
        <f t="shared" si="15"/>
        <v>2.8</v>
      </c>
      <c r="J13" s="16" t="str">
        <f t="shared" si="15"/>
        <v>4.8</v>
      </c>
      <c r="K13" s="16" t="str">
        <f t="shared" si="15"/>
        <v>1.4</v>
      </c>
      <c r="L13" s="19">
        <f t="shared" si="6"/>
        <v>0.81853527718724495</v>
      </c>
      <c r="M13" s="16">
        <f t="shared" si="7"/>
        <v>4.0049968789001573</v>
      </c>
      <c r="N13" s="16">
        <f t="shared" si="8"/>
        <v>5.0665570163573603</v>
      </c>
      <c r="O13" s="17">
        <f t="shared" si="9"/>
        <v>1</v>
      </c>
      <c r="P13" s="16">
        <f t="shared" si="10"/>
        <v>0.81853527718724495</v>
      </c>
      <c r="Q13" s="16">
        <f t="shared" si="11"/>
        <v>4.0049968789001573</v>
      </c>
      <c r="R13" s="17">
        <f t="shared" si="12"/>
        <v>5.0665570163573603</v>
      </c>
      <c r="S13" s="16">
        <f t="shared" si="13"/>
        <v>1</v>
      </c>
      <c r="T13" s="17">
        <f t="shared" si="14"/>
        <v>1</v>
      </c>
      <c r="U13" s="18">
        <f t="shared" si="0"/>
        <v>1.6</v>
      </c>
      <c r="V13" s="18">
        <f t="shared" si="1"/>
        <v>0.2</v>
      </c>
      <c r="W13" s="18" t="str">
        <f t="shared" si="2"/>
        <v/>
      </c>
      <c r="X13" s="18" t="str">
        <f t="shared" si="3"/>
        <v/>
      </c>
      <c r="Y13" s="18" t="str">
        <f t="shared" si="4"/>
        <v/>
      </c>
      <c r="Z13" s="18" t="str">
        <f t="shared" si="5"/>
        <v/>
      </c>
      <c r="AA13" s="20"/>
    </row>
    <row r="14" spans="1:29" s="8" customFormat="1">
      <c r="A14" s="14" t="s">
        <v>35</v>
      </c>
      <c r="B14" s="14" t="s">
        <v>28</v>
      </c>
      <c r="C14" s="14" t="s">
        <v>23</v>
      </c>
      <c r="D14" s="14" t="s">
        <v>30</v>
      </c>
      <c r="E14" s="1" t="s">
        <v>25</v>
      </c>
      <c r="G14" s="9" t="s">
        <v>39</v>
      </c>
      <c r="H14" s="16" t="str">
        <f t="shared" ref="H14:K14" si="16">H9</f>
        <v>6.9</v>
      </c>
      <c r="I14" s="16" t="str">
        <f t="shared" si="16"/>
        <v>3.2</v>
      </c>
      <c r="J14" s="16" t="str">
        <f t="shared" si="16"/>
        <v>5.7</v>
      </c>
      <c r="K14" s="16" t="str">
        <f t="shared" si="16"/>
        <v>2.3</v>
      </c>
      <c r="L14" s="19">
        <f t="shared" si="6"/>
        <v>0.58309518948452999</v>
      </c>
      <c r="M14" s="16">
        <f t="shared" si="7"/>
        <v>4.1581245772583584</v>
      </c>
      <c r="N14" s="16">
        <f t="shared" si="8"/>
        <v>5.270673581241776</v>
      </c>
      <c r="O14" s="17">
        <f t="shared" si="9"/>
        <v>1</v>
      </c>
      <c r="P14" s="16">
        <f t="shared" si="10"/>
        <v>0.58309518948452999</v>
      </c>
      <c r="Q14" s="16">
        <f t="shared" si="11"/>
        <v>4.1581245772583584</v>
      </c>
      <c r="R14" s="17">
        <f t="shared" si="12"/>
        <v>5.270673581241776</v>
      </c>
      <c r="S14" s="16">
        <f t="shared" si="13"/>
        <v>1</v>
      </c>
      <c r="T14" s="17">
        <f t="shared" si="14"/>
        <v>1</v>
      </c>
      <c r="U14" s="18">
        <f t="shared" si="0"/>
        <v>1.4</v>
      </c>
      <c r="V14" s="18">
        <f t="shared" si="1"/>
        <v>0.1</v>
      </c>
      <c r="W14" s="18" t="str">
        <f t="shared" si="2"/>
        <v/>
      </c>
      <c r="X14" s="18" t="str">
        <f t="shared" si="3"/>
        <v/>
      </c>
      <c r="Y14" s="18" t="str">
        <f t="shared" si="4"/>
        <v/>
      </c>
      <c r="Z14" s="18" t="str">
        <f t="shared" si="5"/>
        <v/>
      </c>
      <c r="AA14" s="20"/>
    </row>
    <row r="15" spans="1:29" s="8" customFormat="1">
      <c r="A15" s="14" t="s">
        <v>27</v>
      </c>
      <c r="B15" s="14" t="s">
        <v>28</v>
      </c>
      <c r="C15" s="14" t="s">
        <v>29</v>
      </c>
      <c r="D15" s="14" t="s">
        <v>30</v>
      </c>
      <c r="E15" s="1" t="s">
        <v>25</v>
      </c>
      <c r="L15" s="16">
        <f t="shared" si="6"/>
        <v>0</v>
      </c>
      <c r="M15" s="16">
        <f t="shared" si="7"/>
        <v>4.6551047249229525</v>
      </c>
      <c r="N15" s="16">
        <f t="shared" si="8"/>
        <v>5.727128425310541</v>
      </c>
      <c r="O15" s="17">
        <f t="shared" si="9"/>
        <v>1</v>
      </c>
      <c r="P15" s="16">
        <f t="shared" si="10"/>
        <v>0</v>
      </c>
      <c r="Q15" s="16">
        <f t="shared" si="11"/>
        <v>4.6551047249229525</v>
      </c>
      <c r="R15" s="17">
        <f t="shared" si="12"/>
        <v>5.727128425310541</v>
      </c>
      <c r="S15" s="16">
        <f t="shared" si="13"/>
        <v>1</v>
      </c>
      <c r="T15" s="17">
        <f t="shared" si="14"/>
        <v>1</v>
      </c>
      <c r="U15" s="18">
        <f t="shared" si="0"/>
        <v>1.1000000000000001</v>
      </c>
      <c r="V15" s="18">
        <f t="shared" si="1"/>
        <v>0.1</v>
      </c>
      <c r="W15" s="18" t="str">
        <f t="shared" si="2"/>
        <v/>
      </c>
      <c r="X15" s="18" t="str">
        <f t="shared" si="3"/>
        <v/>
      </c>
      <c r="Y15" s="18" t="str">
        <f t="shared" si="4"/>
        <v/>
      </c>
      <c r="Z15" s="18" t="str">
        <f t="shared" si="5"/>
        <v/>
      </c>
      <c r="AA15" s="20"/>
    </row>
    <row r="16" spans="1:29" s="8" customFormat="1">
      <c r="A16" s="14" t="s">
        <v>60</v>
      </c>
      <c r="B16" s="14" t="s">
        <v>61</v>
      </c>
      <c r="C16" s="14" t="s">
        <v>62</v>
      </c>
      <c r="D16" s="14" t="s">
        <v>24</v>
      </c>
      <c r="E16" s="1" t="s">
        <v>25</v>
      </c>
      <c r="G16" s="9" t="s">
        <v>63</v>
      </c>
      <c r="H16" s="16">
        <f>SUM(T2:T151)</f>
        <v>150</v>
      </c>
      <c r="L16" s="16">
        <f t="shared" si="6"/>
        <v>1.8083141320025122</v>
      </c>
      <c r="M16" s="16">
        <f t="shared" si="7"/>
        <v>4.1036569057366385</v>
      </c>
      <c r="N16" s="16">
        <f t="shared" si="8"/>
        <v>5.1487862647423999</v>
      </c>
      <c r="O16" s="17">
        <f t="shared" si="9"/>
        <v>1</v>
      </c>
      <c r="P16" s="16">
        <f t="shared" si="10"/>
        <v>1.8083141320025122</v>
      </c>
      <c r="Q16" s="16">
        <f t="shared" si="11"/>
        <v>4.1036569057366385</v>
      </c>
      <c r="R16" s="17">
        <f t="shared" si="12"/>
        <v>5.1487862647423999</v>
      </c>
      <c r="S16" s="16">
        <f t="shared" si="13"/>
        <v>1</v>
      </c>
      <c r="T16" s="17">
        <f t="shared" si="14"/>
        <v>1</v>
      </c>
      <c r="U16" s="18">
        <f t="shared" si="0"/>
        <v>1.2</v>
      </c>
      <c r="V16" s="18">
        <f t="shared" si="1"/>
        <v>0.2</v>
      </c>
      <c r="W16" s="18" t="str">
        <f t="shared" si="2"/>
        <v/>
      </c>
      <c r="X16" s="18" t="str">
        <f t="shared" si="3"/>
        <v/>
      </c>
      <c r="Y16" s="18" t="str">
        <f t="shared" si="4"/>
        <v/>
      </c>
      <c r="Z16" s="18" t="str">
        <f t="shared" si="5"/>
        <v/>
      </c>
      <c r="AA16" s="20"/>
    </row>
    <row r="17" spans="1:27" s="8" customFormat="1">
      <c r="A17" s="14" t="s">
        <v>41</v>
      </c>
      <c r="B17" s="14" t="s">
        <v>55</v>
      </c>
      <c r="C17" s="14" t="s">
        <v>45</v>
      </c>
      <c r="D17" s="14" t="s">
        <v>52</v>
      </c>
      <c r="E17" s="1" t="s">
        <v>25</v>
      </c>
      <c r="L17" s="16">
        <f t="shared" si="6"/>
        <v>2.0420577856662141</v>
      </c>
      <c r="M17" s="16">
        <f t="shared" si="7"/>
        <v>3.9572717874818757</v>
      </c>
      <c r="N17" s="16">
        <f t="shared" si="8"/>
        <v>4.9122296363260549</v>
      </c>
      <c r="O17" s="17">
        <f t="shared" si="9"/>
        <v>1</v>
      </c>
      <c r="P17" s="16">
        <f t="shared" si="10"/>
        <v>2.0420577856662141</v>
      </c>
      <c r="Q17" s="16">
        <f t="shared" si="11"/>
        <v>3.9572717874818757</v>
      </c>
      <c r="R17" s="17">
        <f t="shared" si="12"/>
        <v>4.9122296363260549</v>
      </c>
      <c r="S17" s="16">
        <f t="shared" si="13"/>
        <v>1</v>
      </c>
      <c r="T17" s="17">
        <f t="shared" si="14"/>
        <v>1</v>
      </c>
      <c r="U17" s="18">
        <f t="shared" si="0"/>
        <v>1.5</v>
      </c>
      <c r="V17" s="18">
        <f t="shared" si="1"/>
        <v>0.4</v>
      </c>
      <c r="W17" s="18" t="str">
        <f t="shared" si="2"/>
        <v/>
      </c>
      <c r="X17" s="18" t="str">
        <f t="shared" si="3"/>
        <v/>
      </c>
      <c r="Y17" s="18" t="str">
        <f t="shared" si="4"/>
        <v/>
      </c>
      <c r="Z17" s="18" t="str">
        <f t="shared" si="5"/>
        <v/>
      </c>
      <c r="AA17" s="20"/>
    </row>
    <row r="18" spans="1:27" s="8" customFormat="1">
      <c r="A18" s="14" t="s">
        <v>49</v>
      </c>
      <c r="B18" s="14" t="s">
        <v>50</v>
      </c>
      <c r="C18" s="14" t="s">
        <v>38</v>
      </c>
      <c r="D18" s="14" t="s">
        <v>52</v>
      </c>
      <c r="E18" s="1" t="s">
        <v>25</v>
      </c>
      <c r="G18" s="9" t="s">
        <v>64</v>
      </c>
      <c r="H18" s="5" t="s">
        <v>0</v>
      </c>
      <c r="I18" s="5" t="s">
        <v>1</v>
      </c>
      <c r="J18" s="5" t="s">
        <v>2</v>
      </c>
      <c r="K18" s="5" t="s">
        <v>3</v>
      </c>
      <c r="L18" s="19">
        <f t="shared" si="6"/>
        <v>1.4662878298615183</v>
      </c>
      <c r="M18" s="16">
        <f t="shared" si="7"/>
        <v>4.052159917870962</v>
      </c>
      <c r="N18" s="16">
        <f t="shared" si="8"/>
        <v>5.0705029336348879</v>
      </c>
      <c r="O18" s="17">
        <f t="shared" si="9"/>
        <v>1</v>
      </c>
      <c r="P18" s="16">
        <f t="shared" si="10"/>
        <v>1.4662878298615183</v>
      </c>
      <c r="Q18" s="16">
        <f t="shared" si="11"/>
        <v>4.052159917870962</v>
      </c>
      <c r="R18" s="17">
        <f t="shared" si="12"/>
        <v>5.0705029336348879</v>
      </c>
      <c r="S18" s="16">
        <f t="shared" si="13"/>
        <v>1</v>
      </c>
      <c r="T18" s="17">
        <f t="shared" si="14"/>
        <v>1</v>
      </c>
      <c r="U18" s="18">
        <f t="shared" si="0"/>
        <v>1.3</v>
      </c>
      <c r="V18" s="18">
        <f t="shared" si="1"/>
        <v>0.4</v>
      </c>
      <c r="W18" s="18" t="str">
        <f t="shared" si="2"/>
        <v/>
      </c>
      <c r="X18" s="18" t="str">
        <f t="shared" si="3"/>
        <v/>
      </c>
      <c r="Y18" s="18" t="str">
        <f t="shared" si="4"/>
        <v/>
      </c>
      <c r="Z18" s="18" t="str">
        <f t="shared" si="5"/>
        <v/>
      </c>
      <c r="AA18" s="20"/>
    </row>
    <row r="19" spans="1:27" s="8" customFormat="1">
      <c r="A19" s="14" t="s">
        <v>21</v>
      </c>
      <c r="B19" s="14" t="s">
        <v>22</v>
      </c>
      <c r="C19" s="14" t="s">
        <v>23</v>
      </c>
      <c r="D19" s="14" t="s">
        <v>54</v>
      </c>
      <c r="E19" s="1" t="s">
        <v>25</v>
      </c>
      <c r="G19" s="9" t="s">
        <v>26</v>
      </c>
      <c r="H19" s="16" t="s">
        <v>27</v>
      </c>
      <c r="I19" s="16" t="s">
        <v>28</v>
      </c>
      <c r="J19" s="16" t="s">
        <v>29</v>
      </c>
      <c r="K19" s="16" t="s">
        <v>30</v>
      </c>
      <c r="L19" s="19">
        <f t="shared" si="6"/>
        <v>1.0099504938362076</v>
      </c>
      <c r="M19" s="16">
        <f t="shared" si="7"/>
        <v>4.0187062594820233</v>
      </c>
      <c r="N19" s="16">
        <f t="shared" si="8"/>
        <v>5.0813384063650009</v>
      </c>
      <c r="O19" s="17">
        <f t="shared" si="9"/>
        <v>1</v>
      </c>
      <c r="P19" s="16">
        <f t="shared" si="10"/>
        <v>1.0099504938362076</v>
      </c>
      <c r="Q19" s="16">
        <f t="shared" si="11"/>
        <v>4.0187062594820233</v>
      </c>
      <c r="R19" s="17">
        <f t="shared" si="12"/>
        <v>5.0813384063650009</v>
      </c>
      <c r="S19" s="16">
        <f t="shared" si="13"/>
        <v>1</v>
      </c>
      <c r="T19" s="17">
        <f t="shared" si="14"/>
        <v>1</v>
      </c>
      <c r="U19" s="18">
        <f t="shared" si="0"/>
        <v>1.4</v>
      </c>
      <c r="V19" s="18">
        <f t="shared" si="1"/>
        <v>0.3</v>
      </c>
      <c r="W19" s="18" t="str">
        <f t="shared" si="2"/>
        <v/>
      </c>
      <c r="X19" s="18" t="str">
        <f t="shared" si="3"/>
        <v/>
      </c>
      <c r="Y19" s="18" t="str">
        <f t="shared" si="4"/>
        <v/>
      </c>
      <c r="Z19" s="18" t="str">
        <f t="shared" si="5"/>
        <v/>
      </c>
      <c r="AA19" s="20"/>
    </row>
    <row r="20" spans="1:27" s="8" customFormat="1">
      <c r="A20" s="14" t="s">
        <v>41</v>
      </c>
      <c r="B20" s="14" t="s">
        <v>65</v>
      </c>
      <c r="C20" s="14" t="s">
        <v>51</v>
      </c>
      <c r="D20" s="14" t="s">
        <v>54</v>
      </c>
      <c r="E20" s="1" t="s">
        <v>25</v>
      </c>
      <c r="G20" s="9" t="s">
        <v>32</v>
      </c>
      <c r="H20" s="16" t="s">
        <v>33</v>
      </c>
      <c r="I20" s="16" t="s">
        <v>34</v>
      </c>
      <c r="J20" s="16" t="s">
        <v>35</v>
      </c>
      <c r="K20" s="16" t="s">
        <v>23</v>
      </c>
      <c r="L20" s="19">
        <f t="shared" si="6"/>
        <v>1.7320508075688774</v>
      </c>
      <c r="M20" s="16">
        <f t="shared" si="7"/>
        <v>3.6097091295560082</v>
      </c>
      <c r="N20" s="16">
        <f t="shared" si="8"/>
        <v>4.6690470119715011</v>
      </c>
      <c r="O20" s="17">
        <f t="shared" si="9"/>
        <v>1</v>
      </c>
      <c r="P20" s="16">
        <f t="shared" si="10"/>
        <v>1.7320508075688774</v>
      </c>
      <c r="Q20" s="16">
        <f t="shared" si="11"/>
        <v>3.6097091295560082</v>
      </c>
      <c r="R20" s="17">
        <f t="shared" si="12"/>
        <v>4.6690470119715011</v>
      </c>
      <c r="S20" s="16">
        <f t="shared" si="13"/>
        <v>1</v>
      </c>
      <c r="T20" s="17">
        <f t="shared" si="14"/>
        <v>1</v>
      </c>
      <c r="U20" s="18">
        <f t="shared" si="0"/>
        <v>1.7</v>
      </c>
      <c r="V20" s="18">
        <f t="shared" si="1"/>
        <v>0.3</v>
      </c>
      <c r="W20" s="18" t="str">
        <f t="shared" si="2"/>
        <v/>
      </c>
      <c r="X20" s="18" t="str">
        <f t="shared" si="3"/>
        <v/>
      </c>
      <c r="Y20" s="18" t="str">
        <f t="shared" si="4"/>
        <v/>
      </c>
      <c r="Z20" s="18" t="str">
        <f t="shared" si="5"/>
        <v/>
      </c>
      <c r="AA20" s="20"/>
    </row>
    <row r="21" spans="1:27" s="8" customFormat="1">
      <c r="A21" s="14" t="s">
        <v>21</v>
      </c>
      <c r="B21" s="14" t="s">
        <v>65</v>
      </c>
      <c r="C21" s="14" t="s">
        <v>45</v>
      </c>
      <c r="D21" s="14" t="s">
        <v>54</v>
      </c>
      <c r="E21" s="1" t="s">
        <v>25</v>
      </c>
      <c r="G21" s="9" t="s">
        <v>39</v>
      </c>
      <c r="H21" s="16" t="s">
        <v>40</v>
      </c>
      <c r="I21" s="16" t="s">
        <v>37</v>
      </c>
      <c r="J21" s="16" t="s">
        <v>41</v>
      </c>
      <c r="K21" s="16" t="s">
        <v>42</v>
      </c>
      <c r="L21" s="19">
        <f t="shared" si="6"/>
        <v>1.2165525060596436</v>
      </c>
      <c r="M21" s="16">
        <f t="shared" si="7"/>
        <v>3.9987498046264407</v>
      </c>
      <c r="N21" s="16">
        <f t="shared" si="8"/>
        <v>5.0239426748321883</v>
      </c>
      <c r="O21" s="17">
        <f t="shared" si="9"/>
        <v>1</v>
      </c>
      <c r="P21" s="16">
        <f t="shared" si="10"/>
        <v>1.2165525060596436</v>
      </c>
      <c r="Q21" s="16">
        <f t="shared" si="11"/>
        <v>3.9987498046264407</v>
      </c>
      <c r="R21" s="17">
        <f t="shared" si="12"/>
        <v>5.0239426748321883</v>
      </c>
      <c r="S21" s="16">
        <f t="shared" si="13"/>
        <v>1</v>
      </c>
      <c r="T21" s="17">
        <f t="shared" si="14"/>
        <v>1</v>
      </c>
      <c r="U21" s="18">
        <f t="shared" si="0"/>
        <v>1.5</v>
      </c>
      <c r="V21" s="18">
        <f t="shared" si="1"/>
        <v>0.3</v>
      </c>
      <c r="W21" s="18" t="str">
        <f t="shared" si="2"/>
        <v/>
      </c>
      <c r="X21" s="18" t="str">
        <f t="shared" si="3"/>
        <v/>
      </c>
      <c r="Y21" s="18" t="str">
        <f t="shared" si="4"/>
        <v/>
      </c>
      <c r="Z21" s="18" t="str">
        <f t="shared" si="5"/>
        <v/>
      </c>
      <c r="AA21" s="20"/>
    </row>
    <row r="22" spans="1:27" s="8" customFormat="1">
      <c r="A22" s="14" t="s">
        <v>49</v>
      </c>
      <c r="B22" s="14" t="s">
        <v>53</v>
      </c>
      <c r="C22" s="14" t="s">
        <v>51</v>
      </c>
      <c r="D22" s="14" t="s">
        <v>24</v>
      </c>
      <c r="E22" s="1" t="s">
        <v>25</v>
      </c>
      <c r="L22" s="16">
        <f t="shared" si="6"/>
        <v>1.3190905958272923</v>
      </c>
      <c r="M22" s="16">
        <f t="shared" si="7"/>
        <v>3.6565010597564438</v>
      </c>
      <c r="N22" s="16">
        <f t="shared" si="8"/>
        <v>4.7644516998286379</v>
      </c>
      <c r="O22" s="17">
        <f t="shared" si="9"/>
        <v>1</v>
      </c>
      <c r="P22" s="16">
        <f t="shared" si="10"/>
        <v>1.3190905958272923</v>
      </c>
      <c r="Q22" s="16">
        <f t="shared" si="11"/>
        <v>3.6565010597564438</v>
      </c>
      <c r="R22" s="17">
        <f t="shared" si="12"/>
        <v>4.7644516998286379</v>
      </c>
      <c r="S22" s="16">
        <f t="shared" si="13"/>
        <v>1</v>
      </c>
      <c r="T22" s="17">
        <f t="shared" si="14"/>
        <v>1</v>
      </c>
      <c r="U22" s="18">
        <f t="shared" si="0"/>
        <v>1.7</v>
      </c>
      <c r="V22" s="18">
        <f t="shared" si="1"/>
        <v>0.2</v>
      </c>
      <c r="W22" s="18" t="str">
        <f t="shared" si="2"/>
        <v/>
      </c>
      <c r="X22" s="18" t="str">
        <f t="shared" si="3"/>
        <v/>
      </c>
      <c r="Y22" s="18" t="str">
        <f t="shared" si="4"/>
        <v/>
      </c>
      <c r="Z22" s="18" t="str">
        <f t="shared" si="5"/>
        <v/>
      </c>
      <c r="AA22" s="20"/>
    </row>
    <row r="23" spans="1:27" s="8" customFormat="1">
      <c r="A23" s="14" t="s">
        <v>21</v>
      </c>
      <c r="B23" s="14" t="s">
        <v>58</v>
      </c>
      <c r="C23" s="14" t="s">
        <v>45</v>
      </c>
      <c r="D23" s="14" t="s">
        <v>52</v>
      </c>
      <c r="E23" s="1" t="s">
        <v>25</v>
      </c>
      <c r="G23" s="31" t="s">
        <v>66</v>
      </c>
      <c r="H23" s="32"/>
      <c r="L23" s="16">
        <f t="shared" si="6"/>
        <v>1.1747340124470731</v>
      </c>
      <c r="M23" s="16">
        <f t="shared" si="7"/>
        <v>3.9484174044799265</v>
      </c>
      <c r="N23" s="16">
        <f t="shared" si="8"/>
        <v>4.9739320461783558</v>
      </c>
      <c r="O23" s="17">
        <f t="shared" si="9"/>
        <v>1</v>
      </c>
      <c r="P23" s="16">
        <f t="shared" si="10"/>
        <v>1.1747340124470731</v>
      </c>
      <c r="Q23" s="16">
        <f t="shared" si="11"/>
        <v>3.9484174044799265</v>
      </c>
      <c r="R23" s="17">
        <f t="shared" si="12"/>
        <v>4.9739320461783558</v>
      </c>
      <c r="S23" s="16">
        <f t="shared" si="13"/>
        <v>1</v>
      </c>
      <c r="T23" s="17">
        <f t="shared" si="14"/>
        <v>1</v>
      </c>
      <c r="U23" s="18">
        <f t="shared" si="0"/>
        <v>1.5</v>
      </c>
      <c r="V23" s="18">
        <f t="shared" si="1"/>
        <v>0.4</v>
      </c>
      <c r="W23" s="18" t="str">
        <f t="shared" si="2"/>
        <v/>
      </c>
      <c r="X23" s="18" t="str">
        <f t="shared" si="3"/>
        <v/>
      </c>
      <c r="Y23" s="18" t="str">
        <f t="shared" si="4"/>
        <v/>
      </c>
      <c r="Z23" s="18" t="str">
        <f t="shared" si="5"/>
        <v/>
      </c>
      <c r="AA23" s="20"/>
    </row>
    <row r="24" spans="1:27" s="8" customFormat="1">
      <c r="A24" s="14" t="s">
        <v>43</v>
      </c>
      <c r="B24" s="14" t="s">
        <v>47</v>
      </c>
      <c r="C24" s="14" t="s">
        <v>67</v>
      </c>
      <c r="D24" s="14" t="s">
        <v>24</v>
      </c>
      <c r="E24" s="1" t="s">
        <v>25</v>
      </c>
      <c r="G24" s="12" t="s">
        <v>26</v>
      </c>
      <c r="H24" s="18">
        <f>COUNTIF($S$2:$S$151, 1)</f>
        <v>51</v>
      </c>
      <c r="L24" s="16">
        <f t="shared" si="6"/>
        <v>0.68556546004010444</v>
      </c>
      <c r="M24" s="16">
        <f t="shared" si="7"/>
        <v>4.6216880033165371</v>
      </c>
      <c r="N24" s="16">
        <f t="shared" si="8"/>
        <v>5.6524331044250316</v>
      </c>
      <c r="O24" s="17">
        <f t="shared" si="9"/>
        <v>1</v>
      </c>
      <c r="P24" s="16">
        <f t="shared" si="10"/>
        <v>0.68556546004010444</v>
      </c>
      <c r="Q24" s="16">
        <f t="shared" si="11"/>
        <v>4.6216880033165371</v>
      </c>
      <c r="R24" s="17">
        <f t="shared" si="12"/>
        <v>5.6524331044250316</v>
      </c>
      <c r="S24" s="16">
        <f t="shared" si="13"/>
        <v>1</v>
      </c>
      <c r="T24" s="17">
        <f t="shared" si="14"/>
        <v>1</v>
      </c>
      <c r="U24" s="18">
        <f t="shared" si="0"/>
        <v>1</v>
      </c>
      <c r="V24" s="18">
        <f t="shared" si="1"/>
        <v>0.2</v>
      </c>
      <c r="W24" s="18" t="str">
        <f t="shared" si="2"/>
        <v/>
      </c>
      <c r="X24" s="18" t="str">
        <f t="shared" si="3"/>
        <v/>
      </c>
      <c r="Y24" s="18" t="str">
        <f t="shared" si="4"/>
        <v/>
      </c>
      <c r="Z24" s="18" t="str">
        <f t="shared" si="5"/>
        <v/>
      </c>
      <c r="AA24" s="20"/>
    </row>
    <row r="25" spans="1:27" s="8" customFormat="1">
      <c r="A25" s="14" t="s">
        <v>21</v>
      </c>
      <c r="B25" s="14" t="s">
        <v>68</v>
      </c>
      <c r="C25" s="14" t="s">
        <v>51</v>
      </c>
      <c r="D25" s="14" t="s">
        <v>69</v>
      </c>
      <c r="E25" s="1" t="s">
        <v>25</v>
      </c>
      <c r="G25" s="9" t="s">
        <v>32</v>
      </c>
      <c r="H25" s="16">
        <f>COUNTIF($S$2:$S$151, 2)</f>
        <v>64</v>
      </c>
      <c r="L25" s="16">
        <f t="shared" si="6"/>
        <v>1.1180339887498947</v>
      </c>
      <c r="M25" s="16">
        <f t="shared" si="7"/>
        <v>3.6823905279043938</v>
      </c>
      <c r="N25" s="16">
        <f t="shared" si="8"/>
        <v>4.7423622805517507</v>
      </c>
      <c r="O25" s="17">
        <f t="shared" si="9"/>
        <v>1</v>
      </c>
      <c r="P25" s="16">
        <f t="shared" si="10"/>
        <v>1.1180339887498947</v>
      </c>
      <c r="Q25" s="16">
        <f t="shared" si="11"/>
        <v>3.6823905279043938</v>
      </c>
      <c r="R25" s="17">
        <f t="shared" si="12"/>
        <v>4.7423622805517507</v>
      </c>
      <c r="S25" s="16">
        <f t="shared" si="13"/>
        <v>1</v>
      </c>
      <c r="T25" s="17">
        <f t="shared" si="14"/>
        <v>1</v>
      </c>
      <c r="U25" s="18">
        <f t="shared" si="0"/>
        <v>1.7</v>
      </c>
      <c r="V25" s="18">
        <f t="shared" si="1"/>
        <v>0.5</v>
      </c>
      <c r="W25" s="18" t="str">
        <f t="shared" si="2"/>
        <v/>
      </c>
      <c r="X25" s="18" t="str">
        <f t="shared" si="3"/>
        <v/>
      </c>
      <c r="Y25" s="18" t="str">
        <f t="shared" si="4"/>
        <v/>
      </c>
      <c r="Z25" s="18" t="str">
        <f t="shared" si="5"/>
        <v/>
      </c>
      <c r="AA25" s="20"/>
    </row>
    <row r="26" spans="1:27" s="8" customFormat="1">
      <c r="A26" s="14" t="s">
        <v>35</v>
      </c>
      <c r="B26" s="14" t="s">
        <v>53</v>
      </c>
      <c r="C26" s="14" t="s">
        <v>70</v>
      </c>
      <c r="D26" s="14" t="s">
        <v>24</v>
      </c>
      <c r="E26" s="1" t="s">
        <v>25</v>
      </c>
      <c r="G26" s="9" t="s">
        <v>39</v>
      </c>
      <c r="H26" s="16">
        <f>COUNTIF($S$2:$S$151, 3)</f>
        <v>35</v>
      </c>
      <c r="L26" s="16">
        <f t="shared" si="6"/>
        <v>1.0295630140986998</v>
      </c>
      <c r="M26" s="16">
        <f t="shared" si="7"/>
        <v>3.7696153649941526</v>
      </c>
      <c r="N26" s="16">
        <f t="shared" si="8"/>
        <v>4.8270073544588685</v>
      </c>
      <c r="O26" s="17">
        <f t="shared" si="9"/>
        <v>1</v>
      </c>
      <c r="P26" s="16">
        <f t="shared" si="10"/>
        <v>1.0295630140986998</v>
      </c>
      <c r="Q26" s="16">
        <f t="shared" si="11"/>
        <v>3.7696153649941526</v>
      </c>
      <c r="R26" s="17">
        <f t="shared" si="12"/>
        <v>4.8270073544588685</v>
      </c>
      <c r="S26" s="16">
        <f t="shared" si="13"/>
        <v>1</v>
      </c>
      <c r="T26" s="17">
        <f t="shared" si="14"/>
        <v>1</v>
      </c>
      <c r="U26" s="18">
        <f t="shared" si="0"/>
        <v>1.9</v>
      </c>
      <c r="V26" s="18">
        <f t="shared" si="1"/>
        <v>0.2</v>
      </c>
      <c r="W26" s="18" t="str">
        <f t="shared" si="2"/>
        <v/>
      </c>
      <c r="X26" s="18" t="str">
        <f t="shared" si="3"/>
        <v/>
      </c>
      <c r="Y26" s="18" t="str">
        <f t="shared" si="4"/>
        <v/>
      </c>
      <c r="Z26" s="18" t="str">
        <f t="shared" si="5"/>
        <v/>
      </c>
      <c r="AA26" s="20"/>
    </row>
    <row r="27" spans="1:27" s="8" customFormat="1">
      <c r="A27" s="14" t="s">
        <v>46</v>
      </c>
      <c r="B27" s="14" t="s">
        <v>28</v>
      </c>
      <c r="C27" s="14" t="s">
        <v>59</v>
      </c>
      <c r="D27" s="14" t="s">
        <v>24</v>
      </c>
      <c r="E27" s="1" t="s">
        <v>25</v>
      </c>
      <c r="G27" s="9" t="s">
        <v>71</v>
      </c>
      <c r="H27" s="16">
        <f>SUM(H24:H26)</f>
        <v>150</v>
      </c>
      <c r="L27" s="16">
        <f t="shared" si="6"/>
        <v>0.86602540378443882</v>
      </c>
      <c r="M27" s="16">
        <f t="shared" si="7"/>
        <v>3.8678159211627428</v>
      </c>
      <c r="N27" s="16">
        <f t="shared" si="8"/>
        <v>4.9869830559166726</v>
      </c>
      <c r="O27" s="17">
        <f t="shared" si="9"/>
        <v>1</v>
      </c>
      <c r="P27" s="16">
        <f t="shared" si="10"/>
        <v>0.86602540378443882</v>
      </c>
      <c r="Q27" s="16">
        <f t="shared" si="11"/>
        <v>3.8678159211627428</v>
      </c>
      <c r="R27" s="17">
        <f t="shared" si="12"/>
        <v>4.9869830559166726</v>
      </c>
      <c r="S27" s="16">
        <f t="shared" si="13"/>
        <v>1</v>
      </c>
      <c r="T27" s="17">
        <f t="shared" si="14"/>
        <v>1</v>
      </c>
      <c r="U27" s="18">
        <f t="shared" si="0"/>
        <v>1.6</v>
      </c>
      <c r="V27" s="18">
        <f t="shared" si="1"/>
        <v>0.2</v>
      </c>
      <c r="W27" s="18" t="str">
        <f t="shared" si="2"/>
        <v/>
      </c>
      <c r="X27" s="18" t="str">
        <f t="shared" si="3"/>
        <v/>
      </c>
      <c r="Y27" s="18" t="str">
        <f t="shared" si="4"/>
        <v/>
      </c>
      <c r="Z27" s="18" t="str">
        <f t="shared" si="5"/>
        <v/>
      </c>
      <c r="AA27" s="20"/>
    </row>
    <row r="28" spans="1:27" s="8" customFormat="1">
      <c r="A28" s="14" t="s">
        <v>46</v>
      </c>
      <c r="B28" s="14" t="s">
        <v>53</v>
      </c>
      <c r="C28" s="14" t="s">
        <v>59</v>
      </c>
      <c r="D28" s="14" t="s">
        <v>52</v>
      </c>
      <c r="E28" s="1" t="s">
        <v>25</v>
      </c>
      <c r="L28" s="16">
        <f t="shared" si="6"/>
        <v>0.99498743710662008</v>
      </c>
      <c r="M28" s="16">
        <f t="shared" si="7"/>
        <v>3.8522720568516444</v>
      </c>
      <c r="N28" s="16">
        <f t="shared" si="8"/>
        <v>4.9061186288144318</v>
      </c>
      <c r="O28" s="17">
        <f t="shared" si="9"/>
        <v>1</v>
      </c>
      <c r="P28" s="16">
        <f t="shared" si="10"/>
        <v>0.99498743710662008</v>
      </c>
      <c r="Q28" s="16">
        <f t="shared" si="11"/>
        <v>3.8522720568516444</v>
      </c>
      <c r="R28" s="17">
        <f t="shared" si="12"/>
        <v>4.9061186288144318</v>
      </c>
      <c r="S28" s="16">
        <f t="shared" si="13"/>
        <v>1</v>
      </c>
      <c r="T28" s="17">
        <f t="shared" si="14"/>
        <v>1</v>
      </c>
      <c r="U28" s="18">
        <f t="shared" si="0"/>
        <v>1.6</v>
      </c>
      <c r="V28" s="18">
        <f t="shared" si="1"/>
        <v>0.4</v>
      </c>
      <c r="W28" s="18" t="str">
        <f t="shared" si="2"/>
        <v/>
      </c>
      <c r="X28" s="18" t="str">
        <f t="shared" si="3"/>
        <v/>
      </c>
      <c r="Y28" s="18" t="str">
        <f t="shared" si="4"/>
        <v/>
      </c>
      <c r="Z28" s="18" t="str">
        <f t="shared" si="5"/>
        <v/>
      </c>
      <c r="AA28" s="20"/>
    </row>
    <row r="29" spans="1:27" s="8" customFormat="1">
      <c r="A29" s="14" t="s">
        <v>72</v>
      </c>
      <c r="B29" s="14" t="s">
        <v>22</v>
      </c>
      <c r="C29" s="14" t="s">
        <v>45</v>
      </c>
      <c r="D29" s="14" t="s">
        <v>24</v>
      </c>
      <c r="E29" s="1" t="s">
        <v>25</v>
      </c>
      <c r="L29" s="16">
        <f t="shared" si="6"/>
        <v>1.1090536506409419</v>
      </c>
      <c r="M29" s="16">
        <f t="shared" si="7"/>
        <v>3.9217343102255153</v>
      </c>
      <c r="N29" s="16">
        <f t="shared" si="8"/>
        <v>5.0029991005395953</v>
      </c>
      <c r="O29" s="17">
        <f t="shared" si="9"/>
        <v>1</v>
      </c>
      <c r="P29" s="16">
        <f t="shared" si="10"/>
        <v>1.1090536506409419</v>
      </c>
      <c r="Q29" s="16">
        <f t="shared" si="11"/>
        <v>3.9217343102255153</v>
      </c>
      <c r="R29" s="17">
        <f t="shared" si="12"/>
        <v>5.0029991005395953</v>
      </c>
      <c r="S29" s="16">
        <f t="shared" si="13"/>
        <v>1</v>
      </c>
      <c r="T29" s="17">
        <f t="shared" si="14"/>
        <v>1</v>
      </c>
      <c r="U29" s="18">
        <f t="shared" si="0"/>
        <v>1.5</v>
      </c>
      <c r="V29" s="18">
        <f t="shared" si="1"/>
        <v>0.2</v>
      </c>
      <c r="W29" s="18" t="str">
        <f t="shared" si="2"/>
        <v/>
      </c>
      <c r="X29" s="18" t="str">
        <f t="shared" si="3"/>
        <v/>
      </c>
      <c r="Y29" s="18" t="str">
        <f t="shared" si="4"/>
        <v/>
      </c>
      <c r="Z29" s="18" t="str">
        <f t="shared" si="5"/>
        <v/>
      </c>
      <c r="AA29" s="20"/>
    </row>
    <row r="30" spans="1:27" s="8" customFormat="1">
      <c r="A30" s="14" t="s">
        <v>72</v>
      </c>
      <c r="B30" s="14" t="s">
        <v>53</v>
      </c>
      <c r="C30" s="14" t="s">
        <v>23</v>
      </c>
      <c r="D30" s="14" t="s">
        <v>24</v>
      </c>
      <c r="E30" s="1" t="s">
        <v>25</v>
      </c>
      <c r="L30" s="16">
        <f t="shared" si="6"/>
        <v>1.0344080432788603</v>
      </c>
      <c r="M30" s="16">
        <f t="shared" si="7"/>
        <v>3.989987468652</v>
      </c>
      <c r="N30" s="16">
        <f t="shared" si="8"/>
        <v>5.0823223038292253</v>
      </c>
      <c r="O30" s="17">
        <f t="shared" si="9"/>
        <v>1</v>
      </c>
      <c r="P30" s="16">
        <f t="shared" si="10"/>
        <v>1.0344080432788603</v>
      </c>
      <c r="Q30" s="16">
        <f t="shared" si="11"/>
        <v>3.989987468652</v>
      </c>
      <c r="R30" s="17">
        <f t="shared" si="12"/>
        <v>5.0823223038292253</v>
      </c>
      <c r="S30" s="16">
        <f t="shared" si="13"/>
        <v>1</v>
      </c>
      <c r="T30" s="17">
        <f t="shared" si="14"/>
        <v>1</v>
      </c>
      <c r="U30" s="18">
        <f t="shared" si="0"/>
        <v>1.4</v>
      </c>
      <c r="V30" s="18">
        <f t="shared" si="1"/>
        <v>0.2</v>
      </c>
      <c r="W30" s="18" t="str">
        <f t="shared" si="2"/>
        <v/>
      </c>
      <c r="X30" s="18" t="str">
        <f t="shared" si="3"/>
        <v/>
      </c>
      <c r="Y30" s="18" t="str">
        <f t="shared" si="4"/>
        <v/>
      </c>
      <c r="Z30" s="18" t="str">
        <f t="shared" si="5"/>
        <v/>
      </c>
      <c r="AA30" s="20"/>
    </row>
    <row r="31" spans="1:27" s="8" customFormat="1">
      <c r="A31" s="14" t="s">
        <v>36</v>
      </c>
      <c r="B31" s="14" t="s">
        <v>37</v>
      </c>
      <c r="C31" s="14" t="s">
        <v>59</v>
      </c>
      <c r="D31" s="14" t="s">
        <v>24</v>
      </c>
      <c r="E31" s="1" t="s">
        <v>25</v>
      </c>
      <c r="L31" s="16">
        <f t="shared" si="6"/>
        <v>0.67823299831252704</v>
      </c>
      <c r="M31" s="16">
        <f t="shared" si="7"/>
        <v>4.0311288741492746</v>
      </c>
      <c r="N31" s="16">
        <f t="shared" si="8"/>
        <v>5.1048996072400872</v>
      </c>
      <c r="O31" s="17">
        <f t="shared" si="9"/>
        <v>1</v>
      </c>
      <c r="P31" s="16">
        <f t="shared" si="10"/>
        <v>0.67823299831252704</v>
      </c>
      <c r="Q31" s="16">
        <f t="shared" si="11"/>
        <v>4.0311288741492746</v>
      </c>
      <c r="R31" s="17">
        <f t="shared" si="12"/>
        <v>5.1048996072400872</v>
      </c>
      <c r="S31" s="16">
        <f t="shared" si="13"/>
        <v>1</v>
      </c>
      <c r="T31" s="17">
        <f t="shared" si="14"/>
        <v>1</v>
      </c>
      <c r="U31" s="18">
        <f t="shared" si="0"/>
        <v>1.6</v>
      </c>
      <c r="V31" s="18">
        <f t="shared" si="1"/>
        <v>0.2</v>
      </c>
      <c r="W31" s="18" t="str">
        <f t="shared" si="2"/>
        <v/>
      </c>
      <c r="X31" s="18" t="str">
        <f t="shared" si="3"/>
        <v/>
      </c>
      <c r="Y31" s="18" t="str">
        <f t="shared" si="4"/>
        <v/>
      </c>
      <c r="Z31" s="18" t="str">
        <f t="shared" si="5"/>
        <v/>
      </c>
      <c r="AA31" s="20"/>
    </row>
    <row r="32" spans="1:27" s="8" customFormat="1">
      <c r="A32" s="14" t="s">
        <v>35</v>
      </c>
      <c r="B32" s="14" t="s">
        <v>44</v>
      </c>
      <c r="C32" s="14" t="s">
        <v>59</v>
      </c>
      <c r="D32" s="14" t="s">
        <v>24</v>
      </c>
      <c r="E32" s="1" t="s">
        <v>25</v>
      </c>
      <c r="L32" s="16">
        <f t="shared" si="6"/>
        <v>0.72111025509279791</v>
      </c>
      <c r="M32" s="16">
        <f t="shared" si="7"/>
        <v>3.9711459303329559</v>
      </c>
      <c r="N32" s="16">
        <f t="shared" si="8"/>
        <v>5.0635955604688654</v>
      </c>
      <c r="O32" s="17">
        <f t="shared" si="9"/>
        <v>1</v>
      </c>
      <c r="P32" s="16">
        <f t="shared" si="10"/>
        <v>0.72111025509279791</v>
      </c>
      <c r="Q32" s="16">
        <f t="shared" si="11"/>
        <v>3.9711459303329559</v>
      </c>
      <c r="R32" s="17">
        <f t="shared" si="12"/>
        <v>5.0635955604688654</v>
      </c>
      <c r="S32" s="16">
        <f t="shared" si="13"/>
        <v>1</v>
      </c>
      <c r="T32" s="17">
        <f t="shared" si="14"/>
        <v>1</v>
      </c>
      <c r="U32" s="18">
        <f t="shared" si="0"/>
        <v>1.6</v>
      </c>
      <c r="V32" s="18">
        <f t="shared" si="1"/>
        <v>0.2</v>
      </c>
      <c r="W32" s="18" t="str">
        <f t="shared" si="2"/>
        <v/>
      </c>
      <c r="X32" s="18" t="str">
        <f t="shared" si="3"/>
        <v/>
      </c>
      <c r="Y32" s="18" t="str">
        <f t="shared" si="4"/>
        <v/>
      </c>
      <c r="Z32" s="18" t="str">
        <f t="shared" si="5"/>
        <v/>
      </c>
      <c r="AA32" s="20"/>
    </row>
    <row r="33" spans="1:28" s="8" customFormat="1">
      <c r="A33" s="14" t="s">
        <v>49</v>
      </c>
      <c r="B33" s="14" t="s">
        <v>53</v>
      </c>
      <c r="C33" s="14" t="s">
        <v>45</v>
      </c>
      <c r="D33" s="14" t="s">
        <v>52</v>
      </c>
      <c r="E33" s="1" t="s">
        <v>25</v>
      </c>
      <c r="L33" s="16">
        <f t="shared" si="6"/>
        <v>1.2727922061357859</v>
      </c>
      <c r="M33" s="16">
        <f t="shared" si="7"/>
        <v>3.7696153649941526</v>
      </c>
      <c r="N33" s="16">
        <f t="shared" si="8"/>
        <v>4.8518037882832816</v>
      </c>
      <c r="O33" s="17">
        <f t="shared" si="9"/>
        <v>1</v>
      </c>
      <c r="P33" s="16">
        <f t="shared" si="10"/>
        <v>1.2727922061357859</v>
      </c>
      <c r="Q33" s="16">
        <f t="shared" si="11"/>
        <v>3.7696153649941526</v>
      </c>
      <c r="R33" s="17">
        <f t="shared" si="12"/>
        <v>4.8518037882832816</v>
      </c>
      <c r="S33" s="16">
        <f t="shared" si="13"/>
        <v>1</v>
      </c>
      <c r="T33" s="17">
        <f t="shared" si="14"/>
        <v>1</v>
      </c>
      <c r="U33" s="18">
        <f t="shared" si="0"/>
        <v>1.5</v>
      </c>
      <c r="V33" s="18">
        <f t="shared" si="1"/>
        <v>0.4</v>
      </c>
      <c r="W33" s="18" t="str">
        <f t="shared" si="2"/>
        <v/>
      </c>
      <c r="X33" s="18" t="str">
        <f t="shared" si="3"/>
        <v/>
      </c>
      <c r="Y33" s="18" t="str">
        <f t="shared" si="4"/>
        <v/>
      </c>
      <c r="Z33" s="18" t="str">
        <f t="shared" si="5"/>
        <v/>
      </c>
      <c r="AA33" s="20"/>
    </row>
    <row r="34" spans="1:28" s="8" customFormat="1">
      <c r="A34" s="14" t="s">
        <v>72</v>
      </c>
      <c r="B34" s="14" t="s">
        <v>73</v>
      </c>
      <c r="C34" s="14" t="s">
        <v>45</v>
      </c>
      <c r="D34" s="14" t="s">
        <v>30</v>
      </c>
      <c r="E34" s="1" t="s">
        <v>25</v>
      </c>
      <c r="L34" s="16">
        <f t="shared" si="6"/>
        <v>1.4764823060233399</v>
      </c>
      <c r="M34" s="16">
        <f t="shared" si="7"/>
        <v>4.1024382993532029</v>
      </c>
      <c r="N34" s="16">
        <f t="shared" si="8"/>
        <v>5.1166395221864125</v>
      </c>
      <c r="O34" s="17">
        <f t="shared" si="9"/>
        <v>1</v>
      </c>
      <c r="P34" s="16">
        <f t="shared" si="10"/>
        <v>1.4764823060233399</v>
      </c>
      <c r="Q34" s="16">
        <f t="shared" si="11"/>
        <v>4.1024382993532029</v>
      </c>
      <c r="R34" s="17">
        <f t="shared" si="12"/>
        <v>5.1166395221864125</v>
      </c>
      <c r="S34" s="16">
        <f t="shared" si="13"/>
        <v>1</v>
      </c>
      <c r="T34" s="17">
        <f t="shared" si="14"/>
        <v>1</v>
      </c>
      <c r="U34" s="18">
        <f t="shared" ref="U34:U66" si="17">IF($S34=1,$C34+0,"")</f>
        <v>1.5</v>
      </c>
      <c r="V34" s="18">
        <f t="shared" ref="V34:V66" si="18">IF($S34=1,$D34+0,"")</f>
        <v>0.1</v>
      </c>
      <c r="W34" s="18" t="str">
        <f t="shared" ref="W34:W66" si="19">IF($S34=2,$C34+0,"")</f>
        <v/>
      </c>
      <c r="X34" s="18" t="str">
        <f t="shared" ref="X34:X66" si="20">IF($S34=2,$D34+0,"")</f>
        <v/>
      </c>
      <c r="Y34" s="18" t="str">
        <f t="shared" ref="Y34:Y66" si="21">IF($S34=3,$C34+0,"")</f>
        <v/>
      </c>
      <c r="Z34" s="18" t="str">
        <f t="shared" ref="Z34:Z66" si="22">IF($S34=3,$D34+0,"")</f>
        <v/>
      </c>
      <c r="AA34" s="20"/>
    </row>
    <row r="35" spans="1:28" s="8" customFormat="1">
      <c r="A35" s="14" t="s">
        <v>74</v>
      </c>
      <c r="B35" s="14" t="s">
        <v>75</v>
      </c>
      <c r="C35" s="14" t="s">
        <v>23</v>
      </c>
      <c r="D35" s="14" t="s">
        <v>24</v>
      </c>
      <c r="E35" s="1" t="s">
        <v>25</v>
      </c>
      <c r="L35" s="16">
        <f t="shared" si="6"/>
        <v>1.726267650163207</v>
      </c>
      <c r="M35" s="16">
        <f t="shared" si="7"/>
        <v>4.080441152620633</v>
      </c>
      <c r="N35" s="16">
        <f t="shared" si="8"/>
        <v>5.0852728540364485</v>
      </c>
      <c r="O35" s="17">
        <f t="shared" si="9"/>
        <v>1</v>
      </c>
      <c r="P35" s="16">
        <f t="shared" si="10"/>
        <v>1.726267650163207</v>
      </c>
      <c r="Q35" s="16">
        <f t="shared" si="11"/>
        <v>4.080441152620633</v>
      </c>
      <c r="R35" s="17">
        <f t="shared" si="12"/>
        <v>5.0852728540364485</v>
      </c>
      <c r="S35" s="16">
        <f t="shared" si="13"/>
        <v>1</v>
      </c>
      <c r="T35" s="17">
        <f t="shared" si="14"/>
        <v>1</v>
      </c>
      <c r="U35" s="18">
        <f t="shared" si="17"/>
        <v>1.4</v>
      </c>
      <c r="V35" s="18">
        <f t="shared" si="18"/>
        <v>0.2</v>
      </c>
      <c r="W35" s="18" t="str">
        <f t="shared" si="19"/>
        <v/>
      </c>
      <c r="X35" s="18" t="str">
        <f t="shared" si="20"/>
        <v/>
      </c>
      <c r="Y35" s="18" t="str">
        <f t="shared" si="21"/>
        <v/>
      </c>
      <c r="Z35" s="18" t="str">
        <f t="shared" si="22"/>
        <v/>
      </c>
      <c r="AA35" s="20"/>
    </row>
    <row r="36" spans="1:28" s="8" customFormat="1">
      <c r="A36" s="14" t="s">
        <v>31</v>
      </c>
      <c r="B36" s="14" t="s">
        <v>44</v>
      </c>
      <c r="C36" s="14" t="s">
        <v>45</v>
      </c>
      <c r="D36" s="14" t="s">
        <v>30</v>
      </c>
      <c r="E36" s="1" t="s">
        <v>25</v>
      </c>
      <c r="L36" s="16">
        <f t="shared" si="6"/>
        <v>0.72801098892805227</v>
      </c>
      <c r="M36" s="16">
        <f t="shared" si="7"/>
        <v>4.0348482003664019</v>
      </c>
      <c r="N36" s="16">
        <f t="shared" si="8"/>
        <v>5.1468436929831078</v>
      </c>
      <c r="O36" s="17">
        <f t="shared" si="9"/>
        <v>1</v>
      </c>
      <c r="P36" s="16">
        <f t="shared" si="10"/>
        <v>0.72801098892805227</v>
      </c>
      <c r="Q36" s="16">
        <f t="shared" si="11"/>
        <v>4.0348482003664019</v>
      </c>
      <c r="R36" s="17">
        <f t="shared" si="12"/>
        <v>5.1468436929831078</v>
      </c>
      <c r="S36" s="16">
        <f t="shared" si="13"/>
        <v>1</v>
      </c>
      <c r="T36" s="17">
        <f t="shared" si="14"/>
        <v>1</v>
      </c>
      <c r="U36" s="18">
        <f t="shared" si="17"/>
        <v>1.5</v>
      </c>
      <c r="V36" s="18">
        <f t="shared" si="18"/>
        <v>0.1</v>
      </c>
      <c r="W36" s="18" t="str">
        <f t="shared" si="19"/>
        <v/>
      </c>
      <c r="X36" s="18" t="str">
        <f t="shared" si="20"/>
        <v/>
      </c>
      <c r="Y36" s="18" t="str">
        <f t="shared" si="21"/>
        <v/>
      </c>
      <c r="Z36" s="18" t="str">
        <f t="shared" si="22"/>
        <v/>
      </c>
      <c r="AA36" s="20"/>
    </row>
    <row r="37" spans="1:28" s="8" customFormat="1">
      <c r="A37" s="14" t="s">
        <v>46</v>
      </c>
      <c r="B37" s="14" t="s">
        <v>37</v>
      </c>
      <c r="C37" s="14" t="s">
        <v>62</v>
      </c>
      <c r="D37" s="14" t="s">
        <v>24</v>
      </c>
      <c r="E37" s="1" t="s">
        <v>25</v>
      </c>
      <c r="L37" s="16">
        <f t="shared" si="6"/>
        <v>0.74161984870956654</v>
      </c>
      <c r="M37" s="16">
        <f t="shared" si="7"/>
        <v>4.2190046219457971</v>
      </c>
      <c r="N37" s="16">
        <f t="shared" si="8"/>
        <v>5.3169540152233772</v>
      </c>
      <c r="O37" s="17">
        <f t="shared" si="9"/>
        <v>1</v>
      </c>
      <c r="P37" s="16">
        <f t="shared" si="10"/>
        <v>0.74161984870956654</v>
      </c>
      <c r="Q37" s="16">
        <f t="shared" si="11"/>
        <v>4.2190046219457971</v>
      </c>
      <c r="R37" s="17">
        <f t="shared" si="12"/>
        <v>5.3169540152233772</v>
      </c>
      <c r="S37" s="16">
        <f t="shared" si="13"/>
        <v>1</v>
      </c>
      <c r="T37" s="17">
        <f t="shared" si="14"/>
        <v>1</v>
      </c>
      <c r="U37" s="18">
        <f t="shared" si="17"/>
        <v>1.2</v>
      </c>
      <c r="V37" s="18">
        <f t="shared" si="18"/>
        <v>0.2</v>
      </c>
      <c r="W37" s="18" t="str">
        <f t="shared" si="19"/>
        <v/>
      </c>
      <c r="X37" s="18" t="str">
        <f t="shared" si="20"/>
        <v/>
      </c>
      <c r="Y37" s="18" t="str">
        <f t="shared" si="21"/>
        <v/>
      </c>
      <c r="Z37" s="18" t="str">
        <f t="shared" si="22"/>
        <v/>
      </c>
      <c r="AA37" s="20"/>
    </row>
    <row r="38" spans="1:28" s="8" customFormat="1">
      <c r="A38" s="14" t="s">
        <v>74</v>
      </c>
      <c r="B38" s="14" t="s">
        <v>22</v>
      </c>
      <c r="C38" s="14" t="s">
        <v>38</v>
      </c>
      <c r="D38" s="14" t="s">
        <v>24</v>
      </c>
      <c r="E38" s="1" t="s">
        <v>25</v>
      </c>
      <c r="L38" s="16">
        <f t="shared" si="6"/>
        <v>1.319090595827292</v>
      </c>
      <c r="M38" s="16">
        <f t="shared" si="7"/>
        <v>3.9837168574084179</v>
      </c>
      <c r="N38" s="16">
        <f t="shared" si="8"/>
        <v>5.081338406365</v>
      </c>
      <c r="O38" s="17">
        <f t="shared" si="9"/>
        <v>1</v>
      </c>
      <c r="P38" s="16">
        <f t="shared" si="10"/>
        <v>1.319090595827292</v>
      </c>
      <c r="Q38" s="16">
        <f t="shared" si="11"/>
        <v>3.9837168574084179</v>
      </c>
      <c r="R38" s="17">
        <f t="shared" si="12"/>
        <v>5.081338406365</v>
      </c>
      <c r="S38" s="16">
        <f t="shared" si="13"/>
        <v>1</v>
      </c>
      <c r="T38" s="17">
        <f t="shared" si="14"/>
        <v>1</v>
      </c>
      <c r="U38" s="18">
        <f t="shared" si="17"/>
        <v>1.3</v>
      </c>
      <c r="V38" s="18">
        <f t="shared" si="18"/>
        <v>0.2</v>
      </c>
      <c r="W38" s="18" t="str">
        <f t="shared" si="19"/>
        <v/>
      </c>
      <c r="X38" s="18" t="str">
        <f t="shared" si="20"/>
        <v/>
      </c>
      <c r="Y38" s="18" t="str">
        <f t="shared" si="21"/>
        <v/>
      </c>
      <c r="Z38" s="18" t="str">
        <f t="shared" si="22"/>
        <v/>
      </c>
      <c r="AA38" s="20"/>
    </row>
    <row r="39" spans="1:28" s="8" customFormat="1">
      <c r="A39" s="14" t="s">
        <v>31</v>
      </c>
      <c r="B39" s="14" t="s">
        <v>44</v>
      </c>
      <c r="C39" s="14" t="s">
        <v>45</v>
      </c>
      <c r="D39" s="14" t="s">
        <v>30</v>
      </c>
      <c r="E39" s="1" t="s">
        <v>25</v>
      </c>
      <c r="L39" s="16">
        <f t="shared" si="6"/>
        <v>0.72801098892805227</v>
      </c>
      <c r="M39" s="16">
        <f t="shared" si="7"/>
        <v>4.0348482003664019</v>
      </c>
      <c r="N39" s="16">
        <f t="shared" si="8"/>
        <v>5.1468436929831078</v>
      </c>
      <c r="O39" s="17">
        <f t="shared" si="9"/>
        <v>1</v>
      </c>
      <c r="P39" s="16">
        <f t="shared" si="10"/>
        <v>0.72801098892805227</v>
      </c>
      <c r="Q39" s="16">
        <f t="shared" si="11"/>
        <v>4.0348482003664019</v>
      </c>
      <c r="R39" s="17">
        <f t="shared" si="12"/>
        <v>5.1468436929831078</v>
      </c>
      <c r="S39" s="16">
        <f t="shared" si="13"/>
        <v>1</v>
      </c>
      <c r="T39" s="17">
        <f t="shared" si="14"/>
        <v>1</v>
      </c>
      <c r="U39" s="18">
        <f t="shared" si="17"/>
        <v>1.5</v>
      </c>
      <c r="V39" s="18">
        <f t="shared" si="18"/>
        <v>0.1</v>
      </c>
      <c r="W39" s="18" t="str">
        <f t="shared" si="19"/>
        <v/>
      </c>
      <c r="X39" s="18" t="str">
        <f t="shared" si="20"/>
        <v/>
      </c>
      <c r="Y39" s="18" t="str">
        <f t="shared" si="21"/>
        <v/>
      </c>
      <c r="Z39" s="18" t="str">
        <f t="shared" si="22"/>
        <v/>
      </c>
      <c r="AA39" s="20"/>
    </row>
    <row r="40" spans="1:28" s="8" customFormat="1">
      <c r="A40" s="14" t="s">
        <v>55</v>
      </c>
      <c r="B40" s="14" t="s">
        <v>28</v>
      </c>
      <c r="C40" s="14" t="s">
        <v>38</v>
      </c>
      <c r="D40" s="14" t="s">
        <v>24</v>
      </c>
      <c r="E40" s="1" t="s">
        <v>25</v>
      </c>
      <c r="L40" s="16">
        <f t="shared" si="6"/>
        <v>0.24494897427831799</v>
      </c>
      <c r="M40" s="16">
        <f t="shared" si="7"/>
        <v>4.4147480109288226</v>
      </c>
      <c r="N40" s="16">
        <f t="shared" si="8"/>
        <v>5.4827000647491202</v>
      </c>
      <c r="O40" s="17">
        <f t="shared" si="9"/>
        <v>1</v>
      </c>
      <c r="P40" s="16">
        <f t="shared" si="10"/>
        <v>0.24494897427831799</v>
      </c>
      <c r="Q40" s="16">
        <f t="shared" si="11"/>
        <v>4.4147480109288226</v>
      </c>
      <c r="R40" s="17">
        <f t="shared" si="12"/>
        <v>5.4827000647491202</v>
      </c>
      <c r="S40" s="16">
        <f t="shared" si="13"/>
        <v>1</v>
      </c>
      <c r="T40" s="17">
        <f t="shared" si="14"/>
        <v>1</v>
      </c>
      <c r="U40" s="18">
        <f t="shared" si="17"/>
        <v>1.3</v>
      </c>
      <c r="V40" s="18">
        <f t="shared" si="18"/>
        <v>0.2</v>
      </c>
      <c r="W40" s="18" t="str">
        <f t="shared" si="19"/>
        <v/>
      </c>
      <c r="X40" s="18" t="str">
        <f t="shared" si="20"/>
        <v/>
      </c>
      <c r="Y40" s="18" t="str">
        <f t="shared" si="21"/>
        <v/>
      </c>
      <c r="Z40" s="18" t="str">
        <f t="shared" si="22"/>
        <v/>
      </c>
      <c r="AA40" s="20"/>
    </row>
    <row r="41" spans="1:28" s="8" customFormat="1">
      <c r="A41" s="14" t="s">
        <v>21</v>
      </c>
      <c r="B41" s="14" t="s">
        <v>53</v>
      </c>
      <c r="C41" s="14" t="s">
        <v>45</v>
      </c>
      <c r="D41" s="14" t="s">
        <v>24</v>
      </c>
      <c r="E41" s="1" t="s">
        <v>25</v>
      </c>
      <c r="L41" s="16">
        <f t="shared" si="6"/>
        <v>0.98488578017961026</v>
      </c>
      <c r="M41" s="16">
        <f t="shared" si="7"/>
        <v>3.9471508711981103</v>
      </c>
      <c r="N41" s="16">
        <f t="shared" si="8"/>
        <v>5.0328918128646478</v>
      </c>
      <c r="O41" s="17">
        <f t="shared" si="9"/>
        <v>1</v>
      </c>
      <c r="P41" s="16">
        <f t="shared" si="10"/>
        <v>0.98488578017961026</v>
      </c>
      <c r="Q41" s="16">
        <f t="shared" si="11"/>
        <v>3.9471508711981103</v>
      </c>
      <c r="R41" s="17">
        <f t="shared" si="12"/>
        <v>5.0328918128646478</v>
      </c>
      <c r="S41" s="16">
        <f t="shared" si="13"/>
        <v>1</v>
      </c>
      <c r="T41" s="17">
        <f t="shared" si="14"/>
        <v>1</v>
      </c>
      <c r="U41" s="18">
        <f t="shared" si="17"/>
        <v>1.5</v>
      </c>
      <c r="V41" s="18">
        <f t="shared" si="18"/>
        <v>0.2</v>
      </c>
      <c r="W41" s="18" t="str">
        <f t="shared" si="19"/>
        <v/>
      </c>
      <c r="X41" s="18" t="str">
        <f t="shared" si="20"/>
        <v/>
      </c>
      <c r="Y41" s="18" t="str">
        <f t="shared" si="21"/>
        <v/>
      </c>
      <c r="Z41" s="18" t="str">
        <f t="shared" si="22"/>
        <v/>
      </c>
      <c r="AA41" s="20"/>
    </row>
    <row r="42" spans="1:28" s="8" customFormat="1">
      <c r="A42" s="14" t="s">
        <v>46</v>
      </c>
      <c r="B42" s="14" t="s">
        <v>22</v>
      </c>
      <c r="C42" s="14" t="s">
        <v>38</v>
      </c>
      <c r="D42" s="14" t="s">
        <v>54</v>
      </c>
      <c r="E42" s="1" t="s">
        <v>25</v>
      </c>
      <c r="L42" s="16">
        <f t="shared" si="6"/>
        <v>0.90553851381374184</v>
      </c>
      <c r="M42" s="16">
        <f t="shared" si="7"/>
        <v>4.1460824883255762</v>
      </c>
      <c r="N42" s="16">
        <f t="shared" si="8"/>
        <v>5.2019227214559809</v>
      </c>
      <c r="O42" s="17">
        <f t="shared" si="9"/>
        <v>1</v>
      </c>
      <c r="P42" s="16">
        <f t="shared" si="10"/>
        <v>0.90553851381374184</v>
      </c>
      <c r="Q42" s="16">
        <f t="shared" si="11"/>
        <v>4.1460824883255762</v>
      </c>
      <c r="R42" s="17">
        <f t="shared" si="12"/>
        <v>5.2019227214559809</v>
      </c>
      <c r="S42" s="16">
        <f t="shared" si="13"/>
        <v>1</v>
      </c>
      <c r="T42" s="17">
        <f t="shared" si="14"/>
        <v>1</v>
      </c>
      <c r="U42" s="18">
        <f t="shared" si="17"/>
        <v>1.3</v>
      </c>
      <c r="V42" s="18">
        <f t="shared" si="18"/>
        <v>0.3</v>
      </c>
      <c r="W42" s="18" t="str">
        <f t="shared" si="19"/>
        <v/>
      </c>
      <c r="X42" s="18" t="str">
        <f t="shared" si="20"/>
        <v/>
      </c>
      <c r="Y42" s="18" t="str">
        <f t="shared" si="21"/>
        <v/>
      </c>
      <c r="Z42" s="18" t="str">
        <f t="shared" si="22"/>
        <v/>
      </c>
      <c r="AA42" s="20"/>
    </row>
    <row r="43" spans="1:28" s="8" customFormat="1" ht="15">
      <c r="A43" s="14" t="s">
        <v>76</v>
      </c>
      <c r="B43" s="14" t="s">
        <v>42</v>
      </c>
      <c r="C43" s="14" t="s">
        <v>38</v>
      </c>
      <c r="D43" s="14" t="s">
        <v>54</v>
      </c>
      <c r="E43" s="1" t="s">
        <v>25</v>
      </c>
      <c r="L43" s="16">
        <f t="shared" si="6"/>
        <v>0.78102496759066564</v>
      </c>
      <c r="M43" s="16">
        <f t="shared" si="7"/>
        <v>4.358898943540674</v>
      </c>
      <c r="N43" s="16">
        <f t="shared" si="8"/>
        <v>5.470831746635973</v>
      </c>
      <c r="O43" s="17">
        <f t="shared" si="9"/>
        <v>1</v>
      </c>
      <c r="P43" s="16">
        <f t="shared" si="10"/>
        <v>0.78102496759066564</v>
      </c>
      <c r="Q43" s="16">
        <f t="shared" si="11"/>
        <v>4.358898943540674</v>
      </c>
      <c r="R43" s="17">
        <f t="shared" si="12"/>
        <v>5.470831746635973</v>
      </c>
      <c r="S43" s="16">
        <f t="shared" si="13"/>
        <v>1</v>
      </c>
      <c r="T43" s="17">
        <f t="shared" si="14"/>
        <v>1</v>
      </c>
      <c r="U43" s="18">
        <f t="shared" si="17"/>
        <v>1.3</v>
      </c>
      <c r="V43" s="18">
        <f t="shared" si="18"/>
        <v>0.3</v>
      </c>
      <c r="W43" s="18" t="str">
        <f t="shared" si="19"/>
        <v/>
      </c>
      <c r="X43" s="18" t="str">
        <f t="shared" si="20"/>
        <v/>
      </c>
      <c r="Y43" s="18" t="str">
        <f t="shared" si="21"/>
        <v/>
      </c>
      <c r="Z43" s="18" t="str">
        <f t="shared" si="22"/>
        <v/>
      </c>
      <c r="AA43" s="20"/>
      <c r="AB43" s="21"/>
    </row>
    <row r="44" spans="1:28" s="8" customFormat="1">
      <c r="A44" s="14" t="s">
        <v>55</v>
      </c>
      <c r="B44" s="14" t="s">
        <v>37</v>
      </c>
      <c r="C44" s="14" t="s">
        <v>38</v>
      </c>
      <c r="D44" s="14" t="s">
        <v>24</v>
      </c>
      <c r="E44" s="1" t="s">
        <v>25</v>
      </c>
      <c r="L44" s="16">
        <f t="shared" si="6"/>
        <v>0.31622776601683822</v>
      </c>
      <c r="M44" s="16">
        <f t="shared" si="7"/>
        <v>4.4283179650969053</v>
      </c>
      <c r="N44" s="16">
        <f t="shared" si="8"/>
        <v>5.4790510127210901</v>
      </c>
      <c r="O44" s="17">
        <f t="shared" si="9"/>
        <v>1</v>
      </c>
      <c r="P44" s="16">
        <f t="shared" si="10"/>
        <v>0.31622776601683822</v>
      </c>
      <c r="Q44" s="16">
        <f t="shared" si="11"/>
        <v>4.4283179650969053</v>
      </c>
      <c r="R44" s="17">
        <f t="shared" si="12"/>
        <v>5.4790510127210901</v>
      </c>
      <c r="S44" s="16">
        <f t="shared" si="13"/>
        <v>1</v>
      </c>
      <c r="T44" s="17">
        <f t="shared" si="14"/>
        <v>1</v>
      </c>
      <c r="U44" s="18">
        <f t="shared" si="17"/>
        <v>1.3</v>
      </c>
      <c r="V44" s="18">
        <f t="shared" si="18"/>
        <v>0.2</v>
      </c>
      <c r="W44" s="18" t="str">
        <f t="shared" si="19"/>
        <v/>
      </c>
      <c r="X44" s="18" t="str">
        <f t="shared" si="20"/>
        <v/>
      </c>
      <c r="Y44" s="18" t="str">
        <f t="shared" si="21"/>
        <v/>
      </c>
      <c r="Z44" s="18" t="str">
        <f t="shared" si="22"/>
        <v/>
      </c>
      <c r="AA44" s="20"/>
    </row>
    <row r="45" spans="1:28" s="8" customFormat="1">
      <c r="A45" s="14" t="s">
        <v>46</v>
      </c>
      <c r="B45" s="14" t="s">
        <v>22</v>
      </c>
      <c r="C45" s="14" t="s">
        <v>59</v>
      </c>
      <c r="D45" s="14" t="s">
        <v>77</v>
      </c>
      <c r="E45" s="1" t="s">
        <v>25</v>
      </c>
      <c r="L45" s="16">
        <f t="shared" si="6"/>
        <v>1.1135528725660044</v>
      </c>
      <c r="M45" s="16">
        <f t="shared" si="7"/>
        <v>3.8223029707232783</v>
      </c>
      <c r="N45" s="16">
        <f t="shared" si="8"/>
        <v>4.8373546489791295</v>
      </c>
      <c r="O45" s="17">
        <f t="shared" si="9"/>
        <v>1</v>
      </c>
      <c r="P45" s="16">
        <f t="shared" si="10"/>
        <v>1.1135528725660044</v>
      </c>
      <c r="Q45" s="16">
        <f t="shared" si="11"/>
        <v>3.8223029707232783</v>
      </c>
      <c r="R45" s="17">
        <f t="shared" si="12"/>
        <v>4.8373546489791295</v>
      </c>
      <c r="S45" s="16">
        <f t="shared" si="13"/>
        <v>1</v>
      </c>
      <c r="T45" s="17">
        <f t="shared" si="14"/>
        <v>1</v>
      </c>
      <c r="U45" s="18">
        <f t="shared" si="17"/>
        <v>1.6</v>
      </c>
      <c r="V45" s="18">
        <f t="shared" si="18"/>
        <v>0.6</v>
      </c>
      <c r="W45" s="18" t="str">
        <f t="shared" si="19"/>
        <v/>
      </c>
      <c r="X45" s="18" t="str">
        <f t="shared" si="20"/>
        <v/>
      </c>
      <c r="Y45" s="18" t="str">
        <f t="shared" si="21"/>
        <v/>
      </c>
      <c r="Z45" s="18" t="str">
        <f t="shared" si="22"/>
        <v/>
      </c>
      <c r="AA45" s="20"/>
      <c r="AB45" s="22"/>
    </row>
    <row r="46" spans="1:28" s="8" customFormat="1">
      <c r="A46" s="14" t="s">
        <v>21</v>
      </c>
      <c r="B46" s="14" t="s">
        <v>65</v>
      </c>
      <c r="C46" s="14" t="s">
        <v>70</v>
      </c>
      <c r="D46" s="14" t="s">
        <v>52</v>
      </c>
      <c r="E46" s="1" t="s">
        <v>25</v>
      </c>
      <c r="L46" s="16">
        <f t="shared" si="6"/>
        <v>1.4177446878757822</v>
      </c>
      <c r="M46" s="16">
        <f t="shared" si="7"/>
        <v>3.646916505762094</v>
      </c>
      <c r="N46" s="16">
        <f t="shared" si="8"/>
        <v>4.6529560496527367</v>
      </c>
      <c r="O46" s="17">
        <f t="shared" si="9"/>
        <v>1</v>
      </c>
      <c r="P46" s="16">
        <f t="shared" si="10"/>
        <v>1.4177446878757822</v>
      </c>
      <c r="Q46" s="16">
        <f t="shared" si="11"/>
        <v>3.646916505762094</v>
      </c>
      <c r="R46" s="17">
        <f t="shared" si="12"/>
        <v>4.6529560496527367</v>
      </c>
      <c r="S46" s="16">
        <f t="shared" si="13"/>
        <v>1</v>
      </c>
      <c r="T46" s="17">
        <f t="shared" si="14"/>
        <v>1</v>
      </c>
      <c r="U46" s="18">
        <f t="shared" si="17"/>
        <v>1.9</v>
      </c>
      <c r="V46" s="18">
        <f t="shared" si="18"/>
        <v>0.4</v>
      </c>
      <c r="W46" s="18" t="str">
        <f t="shared" si="19"/>
        <v/>
      </c>
      <c r="X46" s="18" t="str">
        <f t="shared" si="20"/>
        <v/>
      </c>
      <c r="Y46" s="18" t="str">
        <f t="shared" si="21"/>
        <v/>
      </c>
      <c r="Z46" s="18" t="str">
        <f t="shared" si="22"/>
        <v/>
      </c>
      <c r="AA46" s="20"/>
    </row>
    <row r="47" spans="1:28" s="8" customFormat="1">
      <c r="A47" s="14" t="s">
        <v>35</v>
      </c>
      <c r="B47" s="14" t="s">
        <v>28</v>
      </c>
      <c r="C47" s="14" t="s">
        <v>23</v>
      </c>
      <c r="D47" s="14" t="s">
        <v>54</v>
      </c>
      <c r="E47" s="1" t="s">
        <v>25</v>
      </c>
      <c r="L47" s="16">
        <f t="shared" si="6"/>
        <v>0.61644140029689753</v>
      </c>
      <c r="M47" s="16">
        <f t="shared" si="7"/>
        <v>4.0999999999999996</v>
      </c>
      <c r="N47" s="16">
        <f t="shared" si="8"/>
        <v>5.1903757089443925</v>
      </c>
      <c r="O47" s="17">
        <f t="shared" si="9"/>
        <v>1</v>
      </c>
      <c r="P47" s="16">
        <f t="shared" si="10"/>
        <v>0.61644140029689753</v>
      </c>
      <c r="Q47" s="16">
        <f t="shared" si="11"/>
        <v>4.0999999999999996</v>
      </c>
      <c r="R47" s="17">
        <f t="shared" si="12"/>
        <v>5.1903757089443925</v>
      </c>
      <c r="S47" s="16">
        <f t="shared" si="13"/>
        <v>1</v>
      </c>
      <c r="T47" s="17">
        <f t="shared" si="14"/>
        <v>1</v>
      </c>
      <c r="U47" s="18">
        <f t="shared" si="17"/>
        <v>1.4</v>
      </c>
      <c r="V47" s="18">
        <f t="shared" si="18"/>
        <v>0.3</v>
      </c>
      <c r="W47" s="18" t="str">
        <f t="shared" si="19"/>
        <v/>
      </c>
      <c r="X47" s="18" t="str">
        <f t="shared" si="20"/>
        <v/>
      </c>
      <c r="Y47" s="18" t="str">
        <f t="shared" si="21"/>
        <v/>
      </c>
      <c r="Z47" s="18" t="str">
        <f t="shared" si="22"/>
        <v/>
      </c>
      <c r="AA47" s="20"/>
    </row>
    <row r="48" spans="1:28" s="8" customFormat="1">
      <c r="A48" s="14" t="s">
        <v>21</v>
      </c>
      <c r="B48" s="14" t="s">
        <v>65</v>
      </c>
      <c r="C48" s="14" t="s">
        <v>59</v>
      </c>
      <c r="D48" s="14" t="s">
        <v>24</v>
      </c>
      <c r="E48" s="1" t="s">
        <v>25</v>
      </c>
      <c r="L48" s="16">
        <f t="shared" si="6"/>
        <v>1.2409673645990853</v>
      </c>
      <c r="M48" s="16">
        <f t="shared" si="7"/>
        <v>3.9458839313897713</v>
      </c>
      <c r="N48" s="16">
        <f t="shared" si="8"/>
        <v>4.9819674828324603</v>
      </c>
      <c r="O48" s="17">
        <f t="shared" si="9"/>
        <v>1</v>
      </c>
      <c r="P48" s="16">
        <f t="shared" si="10"/>
        <v>1.2409673645990853</v>
      </c>
      <c r="Q48" s="16">
        <f t="shared" si="11"/>
        <v>3.9458839313897713</v>
      </c>
      <c r="R48" s="17">
        <f t="shared" si="12"/>
        <v>4.9819674828324603</v>
      </c>
      <c r="S48" s="16">
        <f t="shared" si="13"/>
        <v>1</v>
      </c>
      <c r="T48" s="17">
        <f t="shared" si="14"/>
        <v>1</v>
      </c>
      <c r="U48" s="18">
        <f t="shared" si="17"/>
        <v>1.6</v>
      </c>
      <c r="V48" s="18">
        <f t="shared" si="18"/>
        <v>0.2</v>
      </c>
      <c r="W48" s="18" t="str">
        <f t="shared" si="19"/>
        <v/>
      </c>
      <c r="X48" s="18" t="str">
        <f t="shared" si="20"/>
        <v/>
      </c>
      <c r="Y48" s="18" t="str">
        <f t="shared" si="21"/>
        <v/>
      </c>
      <c r="Z48" s="18" t="str">
        <f t="shared" si="22"/>
        <v/>
      </c>
      <c r="AA48" s="20"/>
    </row>
    <row r="49" spans="1:27" s="8" customFormat="1">
      <c r="A49" s="14" t="s">
        <v>43</v>
      </c>
      <c r="B49" s="14" t="s">
        <v>37</v>
      </c>
      <c r="C49" s="14" t="s">
        <v>23</v>
      </c>
      <c r="D49" s="14" t="s">
        <v>24</v>
      </c>
      <c r="E49" s="1" t="s">
        <v>25</v>
      </c>
      <c r="L49" s="16">
        <f t="shared" si="6"/>
        <v>0.4795831523312718</v>
      </c>
      <c r="M49" s="16">
        <f t="shared" si="7"/>
        <v>4.2426406871192848</v>
      </c>
      <c r="N49" s="16">
        <f t="shared" si="8"/>
        <v>5.309425580983314</v>
      </c>
      <c r="O49" s="17">
        <f t="shared" si="9"/>
        <v>1</v>
      </c>
      <c r="P49" s="16">
        <f t="shared" si="10"/>
        <v>0.4795831523312718</v>
      </c>
      <c r="Q49" s="16">
        <f t="shared" si="11"/>
        <v>4.2426406871192848</v>
      </c>
      <c r="R49" s="17">
        <f t="shared" si="12"/>
        <v>5.309425580983314</v>
      </c>
      <c r="S49" s="16">
        <f t="shared" si="13"/>
        <v>1</v>
      </c>
      <c r="T49" s="17">
        <f t="shared" si="14"/>
        <v>1</v>
      </c>
      <c r="U49" s="18">
        <f t="shared" si="17"/>
        <v>1.4</v>
      </c>
      <c r="V49" s="18">
        <f t="shared" si="18"/>
        <v>0.2</v>
      </c>
      <c r="W49" s="18" t="str">
        <f t="shared" si="19"/>
        <v/>
      </c>
      <c r="X49" s="18" t="str">
        <f t="shared" si="20"/>
        <v/>
      </c>
      <c r="Y49" s="18" t="str">
        <f t="shared" si="21"/>
        <v/>
      </c>
      <c r="Z49" s="18" t="str">
        <f t="shared" si="22"/>
        <v/>
      </c>
      <c r="AA49" s="20"/>
    </row>
    <row r="50" spans="1:27" s="8" customFormat="1">
      <c r="A50" s="14" t="s">
        <v>78</v>
      </c>
      <c r="B50" s="14" t="s">
        <v>58</v>
      </c>
      <c r="C50" s="14" t="s">
        <v>45</v>
      </c>
      <c r="D50" s="14" t="s">
        <v>24</v>
      </c>
      <c r="E50" s="1" t="s">
        <v>25</v>
      </c>
      <c r="L50" s="16">
        <f t="shared" si="6"/>
        <v>1.2884098726725126</v>
      </c>
      <c r="M50" s="16">
        <f t="shared" si="7"/>
        <v>3.9230090491866059</v>
      </c>
      <c r="N50" s="16">
        <f t="shared" si="8"/>
        <v>4.9859803449271638</v>
      </c>
      <c r="O50" s="17">
        <f t="shared" si="9"/>
        <v>1</v>
      </c>
      <c r="P50" s="16">
        <f t="shared" si="10"/>
        <v>1.2884098726725126</v>
      </c>
      <c r="Q50" s="16">
        <f t="shared" si="11"/>
        <v>3.9230090491866059</v>
      </c>
      <c r="R50" s="17">
        <f t="shared" si="12"/>
        <v>4.9859803449271638</v>
      </c>
      <c r="S50" s="16">
        <f t="shared" si="13"/>
        <v>1</v>
      </c>
      <c r="T50" s="17">
        <f t="shared" si="14"/>
        <v>1</v>
      </c>
      <c r="U50" s="18">
        <f t="shared" si="17"/>
        <v>1.5</v>
      </c>
      <c r="V50" s="18">
        <f t="shared" si="18"/>
        <v>0.2</v>
      </c>
      <c r="W50" s="18" t="str">
        <f t="shared" si="19"/>
        <v/>
      </c>
      <c r="X50" s="18" t="str">
        <f t="shared" si="20"/>
        <v/>
      </c>
      <c r="Y50" s="18" t="str">
        <f t="shared" si="21"/>
        <v/>
      </c>
      <c r="Z50" s="18" t="str">
        <f t="shared" si="22"/>
        <v/>
      </c>
      <c r="AA50" s="20"/>
    </row>
    <row r="51" spans="1:27" s="8" customFormat="1">
      <c r="A51" s="14" t="s">
        <v>46</v>
      </c>
      <c r="B51" s="14" t="s">
        <v>68</v>
      </c>
      <c r="C51" s="14" t="s">
        <v>23</v>
      </c>
      <c r="D51" s="14" t="s">
        <v>24</v>
      </c>
      <c r="E51" s="1" t="s">
        <v>25</v>
      </c>
      <c r="L51" s="16">
        <f t="shared" si="6"/>
        <v>0.82462112512353214</v>
      </c>
      <c r="M51" s="16">
        <f t="shared" si="7"/>
        <v>4.0607881008493907</v>
      </c>
      <c r="N51" s="16">
        <f t="shared" si="8"/>
        <v>5.1497572758334931</v>
      </c>
      <c r="O51" s="17">
        <f t="shared" si="9"/>
        <v>1</v>
      </c>
      <c r="P51" s="16">
        <f t="shared" si="10"/>
        <v>0.82462112512353214</v>
      </c>
      <c r="Q51" s="16">
        <f t="shared" si="11"/>
        <v>4.0607881008493907</v>
      </c>
      <c r="R51" s="17">
        <f t="shared" si="12"/>
        <v>5.1497572758334931</v>
      </c>
      <c r="S51" s="16">
        <f t="shared" si="13"/>
        <v>1</v>
      </c>
      <c r="T51" s="17">
        <f t="shared" si="14"/>
        <v>1</v>
      </c>
      <c r="U51" s="18">
        <f t="shared" si="17"/>
        <v>1.4</v>
      </c>
      <c r="V51" s="18">
        <f t="shared" si="18"/>
        <v>0.2</v>
      </c>
      <c r="W51" s="18" t="str">
        <f t="shared" si="19"/>
        <v/>
      </c>
      <c r="X51" s="18" t="str">
        <f t="shared" si="20"/>
        <v/>
      </c>
      <c r="Y51" s="18" t="str">
        <f t="shared" si="21"/>
        <v/>
      </c>
      <c r="Z51" s="18" t="str">
        <f t="shared" si="22"/>
        <v/>
      </c>
      <c r="AA51" s="20"/>
    </row>
    <row r="52" spans="1:27" s="8" customFormat="1">
      <c r="A52" s="14" t="s">
        <v>79</v>
      </c>
      <c r="B52" s="14" t="s">
        <v>37</v>
      </c>
      <c r="C52" s="14" t="s">
        <v>36</v>
      </c>
      <c r="D52" s="14" t="s">
        <v>23</v>
      </c>
      <c r="E52" s="1" t="s">
        <v>80</v>
      </c>
      <c r="L52" s="16">
        <f t="shared" si="6"/>
        <v>4.6882832678924178</v>
      </c>
      <c r="M52" s="16">
        <f t="shared" si="7"/>
        <v>0.45825756949558427</v>
      </c>
      <c r="N52" s="16">
        <f t="shared" si="8"/>
        <v>1.349073756323204</v>
      </c>
      <c r="O52" s="17">
        <f t="shared" si="9"/>
        <v>2</v>
      </c>
      <c r="P52" s="16">
        <f t="shared" si="10"/>
        <v>4.6882832678924178</v>
      </c>
      <c r="Q52" s="16">
        <f t="shared" si="11"/>
        <v>0.45825756949558427</v>
      </c>
      <c r="R52" s="17">
        <f t="shared" si="12"/>
        <v>1.349073756323204</v>
      </c>
      <c r="S52" s="16">
        <f t="shared" si="13"/>
        <v>2</v>
      </c>
      <c r="T52" s="17">
        <f t="shared" si="14"/>
        <v>1</v>
      </c>
      <c r="U52" s="18" t="str">
        <f t="shared" si="17"/>
        <v/>
      </c>
      <c r="V52" s="18" t="str">
        <f t="shared" si="18"/>
        <v/>
      </c>
      <c r="W52" s="18">
        <f t="shared" si="19"/>
        <v>4.7</v>
      </c>
      <c r="X52" s="18">
        <f t="shared" si="20"/>
        <v>1.4</v>
      </c>
      <c r="Y52" s="18" t="str">
        <f t="shared" si="21"/>
        <v/>
      </c>
      <c r="Z52" s="18" t="str">
        <f t="shared" si="22"/>
        <v/>
      </c>
      <c r="AA52" s="20"/>
    </row>
    <row r="53" spans="1:27" s="8" customFormat="1">
      <c r="A53" s="14" t="s">
        <v>81</v>
      </c>
      <c r="B53" s="14" t="s">
        <v>37</v>
      </c>
      <c r="C53" s="14" t="s">
        <v>76</v>
      </c>
      <c r="D53" s="14" t="s">
        <v>45</v>
      </c>
      <c r="E53" s="1" t="s">
        <v>80</v>
      </c>
      <c r="L53" s="16">
        <f t="shared" si="6"/>
        <v>4.2391036788453293</v>
      </c>
      <c r="M53" s="16">
        <f t="shared" si="7"/>
        <v>0.64807406984078586</v>
      </c>
      <c r="N53" s="16">
        <f t="shared" si="8"/>
        <v>1.5264337522473748</v>
      </c>
      <c r="O53" s="17">
        <f t="shared" si="9"/>
        <v>2</v>
      </c>
      <c r="P53" s="16">
        <f t="shared" si="10"/>
        <v>4.2391036788453293</v>
      </c>
      <c r="Q53" s="16">
        <f t="shared" si="11"/>
        <v>0.64807406984078586</v>
      </c>
      <c r="R53" s="17">
        <f t="shared" si="12"/>
        <v>1.5264337522473748</v>
      </c>
      <c r="S53" s="16">
        <f t="shared" si="13"/>
        <v>2</v>
      </c>
      <c r="T53" s="17">
        <f t="shared" si="14"/>
        <v>1</v>
      </c>
      <c r="U53" s="18" t="str">
        <f t="shared" si="17"/>
        <v/>
      </c>
      <c r="V53" s="18" t="str">
        <f t="shared" si="18"/>
        <v/>
      </c>
      <c r="W53" s="18">
        <f t="shared" si="19"/>
        <v>4.5</v>
      </c>
      <c r="X53" s="18">
        <f t="shared" si="20"/>
        <v>1.5</v>
      </c>
      <c r="Y53" s="18" t="str">
        <f t="shared" si="21"/>
        <v/>
      </c>
      <c r="Z53" s="18" t="str">
        <f t="shared" si="22"/>
        <v/>
      </c>
      <c r="AA53" s="20"/>
    </row>
    <row r="54" spans="1:27" s="8" customFormat="1">
      <c r="A54" s="14" t="s">
        <v>40</v>
      </c>
      <c r="B54" s="14" t="s">
        <v>44</v>
      </c>
      <c r="C54" s="14" t="s">
        <v>31</v>
      </c>
      <c r="D54" s="14" t="s">
        <v>45</v>
      </c>
      <c r="E54" s="1" t="s">
        <v>80</v>
      </c>
      <c r="L54" s="16">
        <f t="shared" si="6"/>
        <v>4.8135226186234972</v>
      </c>
      <c r="M54" s="16">
        <f t="shared" si="7"/>
        <v>0.34641016151377602</v>
      </c>
      <c r="N54" s="16">
        <f t="shared" si="8"/>
        <v>1.1357816691600544</v>
      </c>
      <c r="O54" s="17">
        <f t="shared" si="9"/>
        <v>2</v>
      </c>
      <c r="P54" s="16">
        <f t="shared" si="10"/>
        <v>4.8135226186234972</v>
      </c>
      <c r="Q54" s="16">
        <f t="shared" si="11"/>
        <v>0.34641016151377602</v>
      </c>
      <c r="R54" s="17">
        <f t="shared" si="12"/>
        <v>1.1357816691600544</v>
      </c>
      <c r="S54" s="16">
        <f t="shared" si="13"/>
        <v>2</v>
      </c>
      <c r="T54" s="17">
        <f t="shared" si="14"/>
        <v>1</v>
      </c>
      <c r="U54" s="18" t="str">
        <f t="shared" si="17"/>
        <v/>
      </c>
      <c r="V54" s="18" t="str">
        <f t="shared" si="18"/>
        <v/>
      </c>
      <c r="W54" s="18">
        <f t="shared" si="19"/>
        <v>4.9000000000000004</v>
      </c>
      <c r="X54" s="18">
        <f t="shared" si="20"/>
        <v>1.5</v>
      </c>
      <c r="Y54" s="18" t="str">
        <f t="shared" si="21"/>
        <v/>
      </c>
      <c r="Z54" s="18" t="str">
        <f t="shared" si="22"/>
        <v/>
      </c>
      <c r="AA54" s="20"/>
    </row>
    <row r="55" spans="1:27" s="8" customFormat="1">
      <c r="A55" s="14" t="s">
        <v>74</v>
      </c>
      <c r="B55" s="14" t="s">
        <v>42</v>
      </c>
      <c r="C55" s="14" t="s">
        <v>61</v>
      </c>
      <c r="D55" s="14" t="s">
        <v>38</v>
      </c>
      <c r="E55" s="1" t="s">
        <v>80</v>
      </c>
      <c r="L55" s="16">
        <f t="shared" si="6"/>
        <v>3.4322004603461025</v>
      </c>
      <c r="M55" s="16">
        <f t="shared" si="7"/>
        <v>1.6093476939431077</v>
      </c>
      <c r="N55" s="16">
        <f t="shared" si="8"/>
        <v>2.5806975801127883</v>
      </c>
      <c r="O55" s="17">
        <f t="shared" si="9"/>
        <v>2</v>
      </c>
      <c r="P55" s="16">
        <f t="shared" si="10"/>
        <v>3.4322004603461025</v>
      </c>
      <c r="Q55" s="16">
        <f t="shared" si="11"/>
        <v>1.6093476939431077</v>
      </c>
      <c r="R55" s="17">
        <f t="shared" si="12"/>
        <v>2.5806975801127883</v>
      </c>
      <c r="S55" s="16">
        <f t="shared" si="13"/>
        <v>2</v>
      </c>
      <c r="T55" s="17">
        <f t="shared" si="14"/>
        <v>1</v>
      </c>
      <c r="U55" s="18" t="str">
        <f t="shared" si="17"/>
        <v/>
      </c>
      <c r="V55" s="18" t="str">
        <f t="shared" si="18"/>
        <v/>
      </c>
      <c r="W55" s="18">
        <f t="shared" si="19"/>
        <v>4</v>
      </c>
      <c r="X55" s="18">
        <f t="shared" si="20"/>
        <v>1.3</v>
      </c>
      <c r="Y55" s="18" t="str">
        <f t="shared" si="21"/>
        <v/>
      </c>
      <c r="Z55" s="18" t="str">
        <f t="shared" si="22"/>
        <v/>
      </c>
      <c r="AA55" s="20"/>
    </row>
    <row r="56" spans="1:27" s="8" customFormat="1">
      <c r="A56" s="14" t="s">
        <v>82</v>
      </c>
      <c r="B56" s="14" t="s">
        <v>34</v>
      </c>
      <c r="C56" s="14" t="s">
        <v>43</v>
      </c>
      <c r="D56" s="14" t="s">
        <v>45</v>
      </c>
      <c r="E56" s="1" t="s">
        <v>80</v>
      </c>
      <c r="L56" s="16">
        <f t="shared" si="6"/>
        <v>4.3692104549906947</v>
      </c>
      <c r="M56" s="16">
        <f t="shared" si="7"/>
        <v>0.37416573867739411</v>
      </c>
      <c r="N56" s="16">
        <f t="shared" si="8"/>
        <v>1.473091986265624</v>
      </c>
      <c r="O56" s="17">
        <f t="shared" si="9"/>
        <v>2</v>
      </c>
      <c r="P56" s="16">
        <f t="shared" si="10"/>
        <v>4.3692104549906947</v>
      </c>
      <c r="Q56" s="16">
        <f t="shared" si="11"/>
        <v>0.37416573867739411</v>
      </c>
      <c r="R56" s="17">
        <f t="shared" si="12"/>
        <v>1.473091986265624</v>
      </c>
      <c r="S56" s="16">
        <f t="shared" si="13"/>
        <v>2</v>
      </c>
      <c r="T56" s="17">
        <f t="shared" si="14"/>
        <v>1</v>
      </c>
      <c r="U56" s="18" t="str">
        <f t="shared" si="17"/>
        <v/>
      </c>
      <c r="V56" s="18" t="str">
        <f t="shared" si="18"/>
        <v/>
      </c>
      <c r="W56" s="18">
        <f t="shared" si="19"/>
        <v>4.5999999999999996</v>
      </c>
      <c r="X56" s="18">
        <f t="shared" si="20"/>
        <v>1.5</v>
      </c>
      <c r="Y56" s="18" t="str">
        <f t="shared" si="21"/>
        <v/>
      </c>
      <c r="Z56" s="18" t="str">
        <f t="shared" si="22"/>
        <v/>
      </c>
      <c r="AA56" s="20"/>
    </row>
    <row r="57" spans="1:27" s="8" customFormat="1">
      <c r="A57" s="14" t="s">
        <v>41</v>
      </c>
      <c r="B57" s="14" t="s">
        <v>34</v>
      </c>
      <c r="C57" s="14" t="s">
        <v>76</v>
      </c>
      <c r="D57" s="14" t="s">
        <v>38</v>
      </c>
      <c r="E57" s="1" t="s">
        <v>80</v>
      </c>
      <c r="L57" s="16">
        <f t="shared" si="6"/>
        <v>3.872983346207417</v>
      </c>
      <c r="M57" s="16">
        <f t="shared" si="7"/>
        <v>1.1445523142259593</v>
      </c>
      <c r="N57" s="16">
        <f t="shared" si="8"/>
        <v>2.0099751242241783</v>
      </c>
      <c r="O57" s="17">
        <f t="shared" si="9"/>
        <v>2</v>
      </c>
      <c r="P57" s="16">
        <f t="shared" si="10"/>
        <v>3.872983346207417</v>
      </c>
      <c r="Q57" s="16">
        <f t="shared" si="11"/>
        <v>1.1445523142259593</v>
      </c>
      <c r="R57" s="17">
        <f t="shared" si="12"/>
        <v>2.0099751242241783</v>
      </c>
      <c r="S57" s="16">
        <f t="shared" si="13"/>
        <v>2</v>
      </c>
      <c r="T57" s="17">
        <f t="shared" si="14"/>
        <v>1</v>
      </c>
      <c r="U57" s="18" t="str">
        <f t="shared" si="17"/>
        <v/>
      </c>
      <c r="V57" s="18" t="str">
        <f t="shared" si="18"/>
        <v/>
      </c>
      <c r="W57" s="18">
        <f t="shared" si="19"/>
        <v>4.5</v>
      </c>
      <c r="X57" s="18">
        <f t="shared" si="20"/>
        <v>1.3</v>
      </c>
      <c r="Y57" s="18" t="str">
        <f t="shared" si="21"/>
        <v/>
      </c>
      <c r="Z57" s="18" t="str">
        <f t="shared" si="22"/>
        <v/>
      </c>
      <c r="AA57" s="20"/>
    </row>
    <row r="58" spans="1:27" s="8" customFormat="1">
      <c r="A58" s="14" t="s">
        <v>83</v>
      </c>
      <c r="B58" s="14" t="s">
        <v>68</v>
      </c>
      <c r="C58" s="14" t="s">
        <v>36</v>
      </c>
      <c r="D58" s="14" t="s">
        <v>59</v>
      </c>
      <c r="E58" s="1" t="s">
        <v>80</v>
      </c>
      <c r="L58" s="16">
        <f t="shared" si="6"/>
        <v>4.3931765272977596</v>
      </c>
      <c r="M58" s="16">
        <f t="shared" si="7"/>
        <v>0.74161984870956621</v>
      </c>
      <c r="N58" s="16">
        <f t="shared" si="8"/>
        <v>1.3638181696985856</v>
      </c>
      <c r="O58" s="17">
        <f t="shared" si="9"/>
        <v>2</v>
      </c>
      <c r="P58" s="16">
        <f t="shared" si="10"/>
        <v>4.3931765272977596</v>
      </c>
      <c r="Q58" s="16">
        <f t="shared" si="11"/>
        <v>0.74161984870956621</v>
      </c>
      <c r="R58" s="17">
        <f t="shared" si="12"/>
        <v>1.3638181696985856</v>
      </c>
      <c r="S58" s="16">
        <f t="shared" si="13"/>
        <v>2</v>
      </c>
      <c r="T58" s="17">
        <f t="shared" si="14"/>
        <v>1</v>
      </c>
      <c r="U58" s="18" t="str">
        <f t="shared" si="17"/>
        <v/>
      </c>
      <c r="V58" s="18" t="str">
        <f t="shared" si="18"/>
        <v/>
      </c>
      <c r="W58" s="18">
        <f t="shared" si="19"/>
        <v>4.7</v>
      </c>
      <c r="X58" s="18">
        <f t="shared" si="20"/>
        <v>1.6</v>
      </c>
      <c r="Y58" s="18" t="str">
        <f t="shared" si="21"/>
        <v/>
      </c>
      <c r="Z58" s="18" t="str">
        <f t="shared" si="22"/>
        <v/>
      </c>
      <c r="AA58" s="20"/>
    </row>
    <row r="59" spans="1:27" s="8" customFormat="1">
      <c r="A59" s="14" t="s">
        <v>31</v>
      </c>
      <c r="B59" s="14" t="s">
        <v>84</v>
      </c>
      <c r="C59" s="14" t="s">
        <v>68</v>
      </c>
      <c r="D59" s="14" t="s">
        <v>67</v>
      </c>
      <c r="E59" s="1" t="s">
        <v>80</v>
      </c>
      <c r="L59" s="16">
        <f t="shared" si="6"/>
        <v>2.5238858928247923</v>
      </c>
      <c r="M59" s="16">
        <f t="shared" si="7"/>
        <v>2.48596057893121</v>
      </c>
      <c r="N59" s="16">
        <f t="shared" si="8"/>
        <v>3.4770677301427422</v>
      </c>
      <c r="O59" s="17">
        <f t="shared" si="9"/>
        <v>2</v>
      </c>
      <c r="P59" s="16">
        <f t="shared" si="10"/>
        <v>2.5238858928247923</v>
      </c>
      <c r="Q59" s="16">
        <f t="shared" si="11"/>
        <v>2.48596057893121</v>
      </c>
      <c r="R59" s="17">
        <f t="shared" si="12"/>
        <v>3.4770677301427422</v>
      </c>
      <c r="S59" s="16">
        <f t="shared" si="13"/>
        <v>2</v>
      </c>
      <c r="T59" s="17">
        <f t="shared" si="14"/>
        <v>1</v>
      </c>
      <c r="U59" s="18" t="str">
        <f t="shared" si="17"/>
        <v/>
      </c>
      <c r="V59" s="18" t="str">
        <f t="shared" si="18"/>
        <v/>
      </c>
      <c r="W59" s="18">
        <f t="shared" si="19"/>
        <v>3.3</v>
      </c>
      <c r="X59" s="18">
        <f t="shared" si="20"/>
        <v>1</v>
      </c>
      <c r="Y59" s="18" t="str">
        <f t="shared" si="21"/>
        <v/>
      </c>
      <c r="Z59" s="18" t="str">
        <f t="shared" si="22"/>
        <v/>
      </c>
      <c r="AA59" s="20"/>
    </row>
    <row r="60" spans="1:27" s="8" customFormat="1">
      <c r="A60" s="14" t="s">
        <v>85</v>
      </c>
      <c r="B60" s="14" t="s">
        <v>56</v>
      </c>
      <c r="C60" s="14" t="s">
        <v>43</v>
      </c>
      <c r="D60" s="14" t="s">
        <v>38</v>
      </c>
      <c r="E60" s="1" t="s">
        <v>80</v>
      </c>
      <c r="L60" s="16">
        <f t="shared" si="6"/>
        <v>4.3577517139001847</v>
      </c>
      <c r="M60" s="16">
        <f t="shared" si="7"/>
        <v>0.31622776601683816</v>
      </c>
      <c r="N60" s="16">
        <f t="shared" si="8"/>
        <v>1.5459624833740311</v>
      </c>
      <c r="O60" s="17">
        <f t="shared" si="9"/>
        <v>2</v>
      </c>
      <c r="P60" s="16">
        <f t="shared" si="10"/>
        <v>4.3577517139001847</v>
      </c>
      <c r="Q60" s="16">
        <f t="shared" si="11"/>
        <v>0.31622776601683816</v>
      </c>
      <c r="R60" s="17">
        <f t="shared" si="12"/>
        <v>1.5459624833740311</v>
      </c>
      <c r="S60" s="16">
        <f t="shared" si="13"/>
        <v>2</v>
      </c>
      <c r="T60" s="17">
        <f t="shared" si="14"/>
        <v>1</v>
      </c>
      <c r="U60" s="18" t="str">
        <f t="shared" si="17"/>
        <v/>
      </c>
      <c r="V60" s="18" t="str">
        <f t="shared" si="18"/>
        <v/>
      </c>
      <c r="W60" s="18">
        <f t="shared" si="19"/>
        <v>4.5999999999999996</v>
      </c>
      <c r="X60" s="18">
        <f t="shared" si="20"/>
        <v>1.3</v>
      </c>
      <c r="Y60" s="18" t="str">
        <f t="shared" si="21"/>
        <v/>
      </c>
      <c r="Z60" s="18" t="str">
        <f t="shared" si="22"/>
        <v/>
      </c>
      <c r="AA60" s="20"/>
    </row>
    <row r="61" spans="1:27" s="8" customFormat="1">
      <c r="A61" s="14" t="s">
        <v>72</v>
      </c>
      <c r="B61" s="14" t="s">
        <v>86</v>
      </c>
      <c r="C61" s="14" t="s">
        <v>50</v>
      </c>
      <c r="D61" s="14" t="s">
        <v>23</v>
      </c>
      <c r="E61" s="1" t="s">
        <v>80</v>
      </c>
      <c r="L61" s="16">
        <f t="shared" si="6"/>
        <v>3.2295510523910287</v>
      </c>
      <c r="M61" s="16">
        <f t="shared" si="7"/>
        <v>1.838477631085023</v>
      </c>
      <c r="N61" s="16">
        <f t="shared" si="8"/>
        <v>2.6814175355583849</v>
      </c>
      <c r="O61" s="17">
        <f t="shared" si="9"/>
        <v>2</v>
      </c>
      <c r="P61" s="16">
        <f t="shared" si="10"/>
        <v>3.2295510523910287</v>
      </c>
      <c r="Q61" s="16">
        <f t="shared" si="11"/>
        <v>1.838477631085023</v>
      </c>
      <c r="R61" s="17">
        <f t="shared" si="12"/>
        <v>2.6814175355583849</v>
      </c>
      <c r="S61" s="16">
        <f t="shared" si="13"/>
        <v>2</v>
      </c>
      <c r="T61" s="17">
        <f t="shared" si="14"/>
        <v>1</v>
      </c>
      <c r="U61" s="18" t="str">
        <f t="shared" si="17"/>
        <v/>
      </c>
      <c r="V61" s="18" t="str">
        <f t="shared" si="18"/>
        <v/>
      </c>
      <c r="W61" s="18">
        <f t="shared" si="19"/>
        <v>3.9</v>
      </c>
      <c r="X61" s="18">
        <f t="shared" si="20"/>
        <v>1.4</v>
      </c>
      <c r="Y61" s="18" t="str">
        <f t="shared" si="21"/>
        <v/>
      </c>
      <c r="Z61" s="18" t="str">
        <f t="shared" si="22"/>
        <v/>
      </c>
      <c r="AA61" s="20"/>
    </row>
    <row r="62" spans="1:27" s="8" customFormat="1">
      <c r="A62" s="14" t="s">
        <v>46</v>
      </c>
      <c r="B62" s="14" t="s">
        <v>87</v>
      </c>
      <c r="C62" s="14" t="s">
        <v>22</v>
      </c>
      <c r="D62" s="14" t="s">
        <v>67</v>
      </c>
      <c r="E62" s="1" t="s">
        <v>80</v>
      </c>
      <c r="L62" s="16">
        <f t="shared" si="6"/>
        <v>2.8390139133156782</v>
      </c>
      <c r="M62" s="16">
        <f t="shared" si="7"/>
        <v>2.3937418407171642</v>
      </c>
      <c r="N62" s="16">
        <f t="shared" si="8"/>
        <v>3.4029399054347111</v>
      </c>
      <c r="O62" s="17">
        <f t="shared" si="9"/>
        <v>2</v>
      </c>
      <c r="P62" s="16">
        <f t="shared" si="10"/>
        <v>2.8390139133156782</v>
      </c>
      <c r="Q62" s="16">
        <f t="shared" si="11"/>
        <v>2.3937418407171642</v>
      </c>
      <c r="R62" s="17">
        <f t="shared" si="12"/>
        <v>3.4029399054347111</v>
      </c>
      <c r="S62" s="16">
        <f t="shared" si="13"/>
        <v>2</v>
      </c>
      <c r="T62" s="17">
        <f t="shared" si="14"/>
        <v>1</v>
      </c>
      <c r="U62" s="18" t="str">
        <f t="shared" si="17"/>
        <v/>
      </c>
      <c r="V62" s="18" t="str">
        <f t="shared" si="18"/>
        <v/>
      </c>
      <c r="W62" s="18">
        <f t="shared" si="19"/>
        <v>3.5</v>
      </c>
      <c r="X62" s="18">
        <f t="shared" si="20"/>
        <v>1</v>
      </c>
      <c r="Y62" s="18" t="str">
        <f t="shared" si="21"/>
        <v/>
      </c>
      <c r="Z62" s="18" t="str">
        <f t="shared" si="22"/>
        <v/>
      </c>
      <c r="AA62" s="20"/>
    </row>
    <row r="63" spans="1:27" s="8" customFormat="1">
      <c r="A63" s="14" t="s">
        <v>88</v>
      </c>
      <c r="B63" s="14" t="s">
        <v>28</v>
      </c>
      <c r="C63" s="14" t="s">
        <v>75</v>
      </c>
      <c r="D63" s="14" t="s">
        <v>45</v>
      </c>
      <c r="E63" s="1" t="s">
        <v>80</v>
      </c>
      <c r="L63" s="16">
        <f t="shared" si="6"/>
        <v>3.7589892258425008</v>
      </c>
      <c r="M63" s="16">
        <f t="shared" si="7"/>
        <v>1.1045361017187254</v>
      </c>
      <c r="N63" s="16">
        <f t="shared" si="8"/>
        <v>1.9824227601599009</v>
      </c>
      <c r="O63" s="17">
        <f t="shared" si="9"/>
        <v>2</v>
      </c>
      <c r="P63" s="16">
        <f t="shared" si="10"/>
        <v>3.7589892258425008</v>
      </c>
      <c r="Q63" s="16">
        <f t="shared" si="11"/>
        <v>1.1045361017187254</v>
      </c>
      <c r="R63" s="17">
        <f t="shared" si="12"/>
        <v>1.9824227601599009</v>
      </c>
      <c r="S63" s="16">
        <f t="shared" si="13"/>
        <v>2</v>
      </c>
      <c r="T63" s="17">
        <f t="shared" si="14"/>
        <v>1</v>
      </c>
      <c r="U63" s="18" t="str">
        <f t="shared" si="17"/>
        <v/>
      </c>
      <c r="V63" s="18" t="str">
        <f t="shared" si="18"/>
        <v/>
      </c>
      <c r="W63" s="18">
        <f t="shared" si="19"/>
        <v>4.2</v>
      </c>
      <c r="X63" s="18">
        <f t="shared" si="20"/>
        <v>1.5</v>
      </c>
      <c r="Y63" s="18" t="str">
        <f t="shared" si="21"/>
        <v/>
      </c>
      <c r="Z63" s="18" t="str">
        <f t="shared" si="22"/>
        <v/>
      </c>
      <c r="AA63" s="20"/>
    </row>
    <row r="64" spans="1:27" s="8" customFormat="1">
      <c r="A64" s="14" t="s">
        <v>89</v>
      </c>
      <c r="B64" s="14" t="s">
        <v>90</v>
      </c>
      <c r="C64" s="14" t="s">
        <v>61</v>
      </c>
      <c r="D64" s="14" t="s">
        <v>67</v>
      </c>
      <c r="E64" s="1" t="s">
        <v>80</v>
      </c>
      <c r="L64" s="16">
        <f t="shared" si="6"/>
        <v>3.5707142142714252</v>
      </c>
      <c r="M64" s="16">
        <f t="shared" si="7"/>
        <v>1.3416407864998734</v>
      </c>
      <c r="N64" s="16">
        <f t="shared" si="8"/>
        <v>2.5278449319529077</v>
      </c>
      <c r="O64" s="17">
        <f t="shared" si="9"/>
        <v>2</v>
      </c>
      <c r="P64" s="16">
        <f t="shared" si="10"/>
        <v>3.5707142142714252</v>
      </c>
      <c r="Q64" s="16">
        <f t="shared" si="11"/>
        <v>1.3416407864998734</v>
      </c>
      <c r="R64" s="17">
        <f t="shared" si="12"/>
        <v>2.5278449319529077</v>
      </c>
      <c r="S64" s="16">
        <f t="shared" si="13"/>
        <v>2</v>
      </c>
      <c r="T64" s="17">
        <f t="shared" si="14"/>
        <v>1</v>
      </c>
      <c r="U64" s="18" t="str">
        <f t="shared" si="17"/>
        <v/>
      </c>
      <c r="V64" s="18" t="str">
        <f t="shared" si="18"/>
        <v/>
      </c>
      <c r="W64" s="18">
        <f t="shared" si="19"/>
        <v>4</v>
      </c>
      <c r="X64" s="18">
        <f t="shared" si="20"/>
        <v>1</v>
      </c>
      <c r="Y64" s="18" t="str">
        <f t="shared" si="21"/>
        <v/>
      </c>
      <c r="Z64" s="18" t="str">
        <f t="shared" si="22"/>
        <v/>
      </c>
      <c r="AA64" s="20"/>
    </row>
    <row r="65" spans="1:27" s="8" customFormat="1">
      <c r="A65" s="14" t="s">
        <v>91</v>
      </c>
      <c r="B65" s="14" t="s">
        <v>56</v>
      </c>
      <c r="C65" s="14" t="s">
        <v>36</v>
      </c>
      <c r="D65" s="14" t="s">
        <v>23</v>
      </c>
      <c r="E65" s="1" t="s">
        <v>80</v>
      </c>
      <c r="L65" s="16">
        <f t="shared" si="6"/>
        <v>4.2308391602612359</v>
      </c>
      <c r="M65" s="16">
        <f t="shared" si="7"/>
        <v>0.7141428428542852</v>
      </c>
      <c r="N65" s="16">
        <f t="shared" si="8"/>
        <v>1.5937377450509229</v>
      </c>
      <c r="O65" s="17">
        <f t="shared" si="9"/>
        <v>2</v>
      </c>
      <c r="P65" s="16">
        <f t="shared" si="10"/>
        <v>4.2308391602612359</v>
      </c>
      <c r="Q65" s="16">
        <f t="shared" si="11"/>
        <v>0.7141428428542852</v>
      </c>
      <c r="R65" s="17">
        <f t="shared" si="12"/>
        <v>1.5937377450509229</v>
      </c>
      <c r="S65" s="16">
        <f t="shared" si="13"/>
        <v>2</v>
      </c>
      <c r="T65" s="17">
        <f t="shared" si="14"/>
        <v>1</v>
      </c>
      <c r="U65" s="18" t="str">
        <f t="shared" si="17"/>
        <v/>
      </c>
      <c r="V65" s="18" t="str">
        <f t="shared" si="18"/>
        <v/>
      </c>
      <c r="W65" s="18">
        <f t="shared" si="19"/>
        <v>4.7</v>
      </c>
      <c r="X65" s="18">
        <f t="shared" si="20"/>
        <v>1.4</v>
      </c>
      <c r="Y65" s="18" t="str">
        <f t="shared" si="21"/>
        <v/>
      </c>
      <c r="Z65" s="18" t="str">
        <f t="shared" si="22"/>
        <v/>
      </c>
      <c r="AA65" s="20"/>
    </row>
    <row r="66" spans="1:27" s="8" customFormat="1">
      <c r="A66" s="14" t="s">
        <v>92</v>
      </c>
      <c r="B66" s="14" t="s">
        <v>56</v>
      </c>
      <c r="C66" s="14" t="s">
        <v>47</v>
      </c>
      <c r="D66" s="14" t="s">
        <v>38</v>
      </c>
      <c r="E66" s="1" t="s">
        <v>80</v>
      </c>
      <c r="L66" s="16">
        <f t="shared" si="6"/>
        <v>3.064310689208912</v>
      </c>
      <c r="M66" s="16">
        <f t="shared" si="7"/>
        <v>1.70293863659264</v>
      </c>
      <c r="N66" s="16">
        <f t="shared" si="8"/>
        <v>2.6814175355583849</v>
      </c>
      <c r="O66" s="17">
        <f t="shared" si="9"/>
        <v>2</v>
      </c>
      <c r="P66" s="16">
        <f t="shared" si="10"/>
        <v>3.064310689208912</v>
      </c>
      <c r="Q66" s="16">
        <f t="shared" si="11"/>
        <v>1.70293863659264</v>
      </c>
      <c r="R66" s="17">
        <f t="shared" si="12"/>
        <v>2.6814175355583849</v>
      </c>
      <c r="S66" s="16">
        <f t="shared" si="13"/>
        <v>2</v>
      </c>
      <c r="T66" s="17">
        <f t="shared" si="14"/>
        <v>1</v>
      </c>
      <c r="U66" s="18" t="str">
        <f t="shared" si="17"/>
        <v/>
      </c>
      <c r="V66" s="18" t="str">
        <f t="shared" si="18"/>
        <v/>
      </c>
      <c r="W66" s="18">
        <f t="shared" si="19"/>
        <v>3.6</v>
      </c>
      <c r="X66" s="18">
        <f t="shared" si="20"/>
        <v>1.3</v>
      </c>
      <c r="Y66" s="18" t="str">
        <f t="shared" si="21"/>
        <v/>
      </c>
      <c r="Z66" s="18" t="str">
        <f t="shared" si="22"/>
        <v/>
      </c>
      <c r="AA66" s="20"/>
    </row>
    <row r="67" spans="1:27" s="8" customFormat="1">
      <c r="A67" s="14" t="s">
        <v>93</v>
      </c>
      <c r="B67" s="14" t="s">
        <v>44</v>
      </c>
      <c r="C67" s="14" t="s">
        <v>55</v>
      </c>
      <c r="D67" s="14" t="s">
        <v>23</v>
      </c>
      <c r="E67" s="1" t="s">
        <v>80</v>
      </c>
      <c r="L67" s="16">
        <f t="shared" ref="L67:L130" si="23">SQRT(POWER(A67-$H$2,2) + POWER(B67-$I$2,2) + POWER(C67-$J$2,2) + POWER(D67-$K$2,2))</f>
        <v>4.2836899981207788</v>
      </c>
      <c r="M67" s="16">
        <f t="shared" ref="M67:M130" si="24">SQRT(POWER(A67-$H$3,2) + POWER(B67-$I$3,2) + POWER(C67-$J$3,2) + POWER(D67-$K$3,2))</f>
        <v>0.50990195135927818</v>
      </c>
      <c r="N67" s="16">
        <f t="shared" ref="N67:N130" si="25">SQRT(POWER(A67-$H$4,2) + POWER(B67-$I$4,2) + POWER(C67-$J$4,2) + POWER(D67-$K$4,2))</f>
        <v>1.5968719422671309</v>
      </c>
      <c r="O67" s="17">
        <f t="shared" ref="O67:O130" si="26">MATCH(MIN(L67:N67), L67:N67, 0)</f>
        <v>2</v>
      </c>
      <c r="P67" s="16">
        <f t="shared" ref="P67:P130" si="27">SQRT(POWER(A67-$H$12,2) + POWER(B67-$I$12,2) + POWER(C67-$J$12,2) + POWER(D67-$K$12,2))</f>
        <v>4.2836899981207788</v>
      </c>
      <c r="Q67" s="16">
        <f t="shared" ref="Q67:Q130" si="28">SQRT(POWER(A67-$H$13,2) + POWER(B67-$I$13,2) + POWER(C67-$J$13,2) + POWER(D67-$K$13,2))</f>
        <v>0.50990195135927818</v>
      </c>
      <c r="R67" s="17">
        <f t="shared" ref="R67:R130" si="29">SQRT(POWER(A67-$H$14,2) + POWER(B67-$I$14,2) + POWER(C67-$J$14,2) + POWER(D67-$K$14,2))</f>
        <v>1.5968719422671309</v>
      </c>
      <c r="S67" s="16">
        <f t="shared" ref="S67:S130" si="30">MATCH(MIN(P67:R67), P67:R67, 0)</f>
        <v>2</v>
      </c>
      <c r="T67" s="17">
        <f t="shared" ref="T67:T130" si="31">IF(O67=S67, 1, 0)</f>
        <v>1</v>
      </c>
      <c r="U67" s="18" t="str">
        <f t="shared" ref="U67:U130" si="32">IF($S67=1,$C67+0,"")</f>
        <v/>
      </c>
      <c r="V67" s="18" t="str">
        <f t="shared" ref="V67:V130" si="33">IF($S67=1,$D67+0,"")</f>
        <v/>
      </c>
      <c r="W67" s="18">
        <f t="shared" ref="W67:W130" si="34">IF($S67=2,$C67+0,"")</f>
        <v>4.4000000000000004</v>
      </c>
      <c r="X67" s="18">
        <f t="shared" ref="X67:X130" si="35">IF($S67=2,$D67+0,"")</f>
        <v>1.4</v>
      </c>
      <c r="Y67" s="18" t="str">
        <f t="shared" ref="Y67:Y130" si="36">IF($S67=3,$C67+0,"")</f>
        <v/>
      </c>
      <c r="Z67" s="18" t="str">
        <f t="shared" ref="Z67:Z130" si="37">IF($S67=3,$D67+0,"")</f>
        <v/>
      </c>
      <c r="AA67" s="20"/>
    </row>
    <row r="68" spans="1:27" s="8" customFormat="1">
      <c r="A68" s="14" t="s">
        <v>92</v>
      </c>
      <c r="B68" s="14" t="s">
        <v>28</v>
      </c>
      <c r="C68" s="14" t="s">
        <v>76</v>
      </c>
      <c r="D68" s="14" t="s">
        <v>45</v>
      </c>
      <c r="E68" s="1" t="s">
        <v>80</v>
      </c>
      <c r="L68" s="16">
        <f t="shared" si="23"/>
        <v>3.8999999999999995</v>
      </c>
      <c r="M68" s="16">
        <f t="shared" si="24"/>
        <v>1.2569805089976536</v>
      </c>
      <c r="N68" s="16">
        <f t="shared" si="25"/>
        <v>1.9519221295943141</v>
      </c>
      <c r="O68" s="17">
        <f t="shared" si="26"/>
        <v>2</v>
      </c>
      <c r="P68" s="16">
        <f t="shared" si="27"/>
        <v>3.8999999999999995</v>
      </c>
      <c r="Q68" s="16">
        <f t="shared" si="28"/>
        <v>1.2569805089976536</v>
      </c>
      <c r="R68" s="17">
        <f t="shared" si="29"/>
        <v>1.9519221295943141</v>
      </c>
      <c r="S68" s="16">
        <f t="shared" si="30"/>
        <v>2</v>
      </c>
      <c r="T68" s="17">
        <f t="shared" si="31"/>
        <v>1</v>
      </c>
      <c r="U68" s="18" t="str">
        <f t="shared" si="32"/>
        <v/>
      </c>
      <c r="V68" s="18" t="str">
        <f t="shared" si="33"/>
        <v/>
      </c>
      <c r="W68" s="18">
        <f t="shared" si="34"/>
        <v>4.5</v>
      </c>
      <c r="X68" s="18">
        <f t="shared" si="35"/>
        <v>1.5</v>
      </c>
      <c r="Y68" s="18" t="str">
        <f t="shared" si="36"/>
        <v/>
      </c>
      <c r="Z68" s="18" t="str">
        <f t="shared" si="37"/>
        <v/>
      </c>
      <c r="AA68" s="20"/>
    </row>
    <row r="69" spans="1:27" s="8" customFormat="1">
      <c r="A69" s="14" t="s">
        <v>60</v>
      </c>
      <c r="B69" s="14" t="s">
        <v>86</v>
      </c>
      <c r="C69" s="14" t="s">
        <v>73</v>
      </c>
      <c r="D69" s="14" t="s">
        <v>67</v>
      </c>
      <c r="E69" s="1" t="s">
        <v>80</v>
      </c>
      <c r="L69" s="16">
        <f t="shared" si="23"/>
        <v>3.4856850115866749</v>
      </c>
      <c r="M69" s="16">
        <f t="shared" si="24"/>
        <v>1.2884098726725126</v>
      </c>
      <c r="N69" s="16">
        <f t="shared" si="25"/>
        <v>2.3895606290697047</v>
      </c>
      <c r="O69" s="17">
        <f t="shared" si="26"/>
        <v>2</v>
      </c>
      <c r="P69" s="16">
        <f t="shared" si="27"/>
        <v>3.4856850115866749</v>
      </c>
      <c r="Q69" s="16">
        <f t="shared" si="28"/>
        <v>1.2884098726725126</v>
      </c>
      <c r="R69" s="17">
        <f t="shared" si="29"/>
        <v>2.3895606290697047</v>
      </c>
      <c r="S69" s="16">
        <f t="shared" si="30"/>
        <v>2</v>
      </c>
      <c r="T69" s="17">
        <f t="shared" si="31"/>
        <v>1</v>
      </c>
      <c r="U69" s="18" t="str">
        <f t="shared" si="32"/>
        <v/>
      </c>
      <c r="V69" s="18" t="str">
        <f t="shared" si="33"/>
        <v/>
      </c>
      <c r="W69" s="18">
        <f t="shared" si="34"/>
        <v>4.0999999999999996</v>
      </c>
      <c r="X69" s="18">
        <f t="shared" si="35"/>
        <v>1</v>
      </c>
      <c r="Y69" s="18" t="str">
        <f t="shared" si="36"/>
        <v/>
      </c>
      <c r="Z69" s="18" t="str">
        <f t="shared" si="37"/>
        <v/>
      </c>
      <c r="AA69" s="20"/>
    </row>
    <row r="70" spans="1:27" s="8" customFormat="1">
      <c r="A70" s="14" t="s">
        <v>94</v>
      </c>
      <c r="B70" s="14" t="s">
        <v>90</v>
      </c>
      <c r="C70" s="14" t="s">
        <v>76</v>
      </c>
      <c r="D70" s="14" t="s">
        <v>45</v>
      </c>
      <c r="E70" s="1" t="s">
        <v>80</v>
      </c>
      <c r="L70" s="16">
        <f t="shared" si="23"/>
        <v>4.2154477816715987</v>
      </c>
      <c r="M70" s="16">
        <f t="shared" si="24"/>
        <v>0.90553851381374117</v>
      </c>
      <c r="N70" s="16">
        <f t="shared" si="25"/>
        <v>1.8894443627691184</v>
      </c>
      <c r="O70" s="17">
        <f t="shared" si="26"/>
        <v>2</v>
      </c>
      <c r="P70" s="16">
        <f t="shared" si="27"/>
        <v>4.2154477816715987</v>
      </c>
      <c r="Q70" s="16">
        <f t="shared" si="28"/>
        <v>0.90553851381374117</v>
      </c>
      <c r="R70" s="17">
        <f t="shared" si="29"/>
        <v>1.8894443627691184</v>
      </c>
      <c r="S70" s="16">
        <f t="shared" si="30"/>
        <v>2</v>
      </c>
      <c r="T70" s="17">
        <f t="shared" si="31"/>
        <v>1</v>
      </c>
      <c r="U70" s="18" t="str">
        <f t="shared" si="32"/>
        <v/>
      </c>
      <c r="V70" s="18" t="str">
        <f t="shared" si="33"/>
        <v/>
      </c>
      <c r="W70" s="18">
        <f t="shared" si="34"/>
        <v>4.5</v>
      </c>
      <c r="X70" s="18">
        <f t="shared" si="35"/>
        <v>1.5</v>
      </c>
      <c r="Y70" s="18" t="str">
        <f t="shared" si="36"/>
        <v/>
      </c>
      <c r="Z70" s="18" t="str">
        <f t="shared" si="37"/>
        <v/>
      </c>
      <c r="AA70" s="20"/>
    </row>
    <row r="71" spans="1:27" s="8" customFormat="1">
      <c r="A71" s="14" t="s">
        <v>92</v>
      </c>
      <c r="B71" s="14" t="s">
        <v>95</v>
      </c>
      <c r="C71" s="14" t="s">
        <v>50</v>
      </c>
      <c r="D71" s="14" t="s">
        <v>29</v>
      </c>
      <c r="E71" s="1" t="s">
        <v>80</v>
      </c>
      <c r="L71" s="16">
        <f t="shared" si="23"/>
        <v>3.2832910318764004</v>
      </c>
      <c r="M71" s="16">
        <f t="shared" si="24"/>
        <v>1.5588457268119895</v>
      </c>
      <c r="N71" s="16">
        <f t="shared" si="25"/>
        <v>2.6191601707417593</v>
      </c>
      <c r="O71" s="17">
        <f t="shared" si="26"/>
        <v>2</v>
      </c>
      <c r="P71" s="16">
        <f t="shared" si="27"/>
        <v>3.2832910318764004</v>
      </c>
      <c r="Q71" s="16">
        <f t="shared" si="28"/>
        <v>1.5588457268119895</v>
      </c>
      <c r="R71" s="17">
        <f t="shared" si="29"/>
        <v>2.6191601707417593</v>
      </c>
      <c r="S71" s="16">
        <f t="shared" si="30"/>
        <v>2</v>
      </c>
      <c r="T71" s="17">
        <f t="shared" si="31"/>
        <v>1</v>
      </c>
      <c r="U71" s="18" t="str">
        <f t="shared" si="32"/>
        <v/>
      </c>
      <c r="V71" s="18" t="str">
        <f t="shared" si="33"/>
        <v/>
      </c>
      <c r="W71" s="18">
        <f t="shared" si="34"/>
        <v>3.9</v>
      </c>
      <c r="X71" s="18">
        <f t="shared" si="35"/>
        <v>1.1000000000000001</v>
      </c>
      <c r="Y71" s="18" t="str">
        <f t="shared" si="36"/>
        <v/>
      </c>
      <c r="Z71" s="18" t="str">
        <f t="shared" si="37"/>
        <v/>
      </c>
      <c r="AA71" s="20"/>
    </row>
    <row r="72" spans="1:27" s="8" customFormat="1">
      <c r="A72" s="14" t="s">
        <v>88</v>
      </c>
      <c r="B72" s="14" t="s">
        <v>37</v>
      </c>
      <c r="C72" s="14" t="s">
        <v>35</v>
      </c>
      <c r="D72" s="14" t="s">
        <v>96</v>
      </c>
      <c r="E72" s="1" t="s">
        <v>80</v>
      </c>
      <c r="L72" s="16">
        <f t="shared" si="23"/>
        <v>4.3794976880916376</v>
      </c>
      <c r="M72" s="16">
        <f t="shared" si="24"/>
        <v>1.0630145812734646</v>
      </c>
      <c r="N72" s="16">
        <f t="shared" si="25"/>
        <v>1.4352700094407325</v>
      </c>
      <c r="O72" s="17">
        <f t="shared" si="26"/>
        <v>2</v>
      </c>
      <c r="P72" s="16">
        <f t="shared" si="27"/>
        <v>4.3794976880916376</v>
      </c>
      <c r="Q72" s="16">
        <f t="shared" si="28"/>
        <v>1.0630145812734646</v>
      </c>
      <c r="R72" s="17">
        <f t="shared" si="29"/>
        <v>1.4352700094407325</v>
      </c>
      <c r="S72" s="16">
        <f t="shared" si="30"/>
        <v>2</v>
      </c>
      <c r="T72" s="17">
        <f t="shared" si="31"/>
        <v>1</v>
      </c>
      <c r="U72" s="18" t="str">
        <f t="shared" si="32"/>
        <v/>
      </c>
      <c r="V72" s="18" t="str">
        <f t="shared" si="33"/>
        <v/>
      </c>
      <c r="W72" s="18">
        <f t="shared" si="34"/>
        <v>4.8</v>
      </c>
      <c r="X72" s="18">
        <f t="shared" si="35"/>
        <v>1.8</v>
      </c>
      <c r="Y72" s="18" t="str">
        <f t="shared" si="36"/>
        <v/>
      </c>
      <c r="Z72" s="18" t="str">
        <f t="shared" si="37"/>
        <v/>
      </c>
      <c r="AA72" s="20"/>
    </row>
    <row r="73" spans="1:27" s="8" customFormat="1">
      <c r="A73" s="14" t="s">
        <v>91</v>
      </c>
      <c r="B73" s="14" t="s">
        <v>34</v>
      </c>
      <c r="C73" s="14" t="s">
        <v>61</v>
      </c>
      <c r="D73" s="14" t="s">
        <v>38</v>
      </c>
      <c r="E73" s="1" t="s">
        <v>80</v>
      </c>
      <c r="L73" s="16">
        <f t="shared" si="23"/>
        <v>3.6235341863986874</v>
      </c>
      <c r="M73" s="16">
        <f t="shared" si="24"/>
        <v>1.0677078252031311</v>
      </c>
      <c r="N73" s="16">
        <f t="shared" si="25"/>
        <v>2.165640782770772</v>
      </c>
      <c r="O73" s="17">
        <f t="shared" si="26"/>
        <v>2</v>
      </c>
      <c r="P73" s="16">
        <f t="shared" si="27"/>
        <v>3.6235341863986874</v>
      </c>
      <c r="Q73" s="16">
        <f t="shared" si="28"/>
        <v>1.0677078252031311</v>
      </c>
      <c r="R73" s="17">
        <f t="shared" si="29"/>
        <v>2.165640782770772</v>
      </c>
      <c r="S73" s="16">
        <f t="shared" si="30"/>
        <v>2</v>
      </c>
      <c r="T73" s="17">
        <f t="shared" si="31"/>
        <v>1</v>
      </c>
      <c r="U73" s="18" t="str">
        <f t="shared" si="32"/>
        <v/>
      </c>
      <c r="V73" s="18" t="str">
        <f t="shared" si="33"/>
        <v/>
      </c>
      <c r="W73" s="18">
        <f t="shared" si="34"/>
        <v>4</v>
      </c>
      <c r="X73" s="18">
        <f t="shared" si="35"/>
        <v>1.3</v>
      </c>
      <c r="Y73" s="18" t="str">
        <f t="shared" si="36"/>
        <v/>
      </c>
      <c r="Z73" s="18" t="str">
        <f t="shared" si="37"/>
        <v/>
      </c>
      <c r="AA73" s="20"/>
    </row>
    <row r="74" spans="1:27" s="8" customFormat="1">
      <c r="A74" s="14" t="s">
        <v>83</v>
      </c>
      <c r="B74" s="14" t="s">
        <v>95</v>
      </c>
      <c r="C74" s="14" t="s">
        <v>31</v>
      </c>
      <c r="D74" s="14" t="s">
        <v>45</v>
      </c>
      <c r="E74" s="1" t="s">
        <v>80</v>
      </c>
      <c r="L74" s="16">
        <f t="shared" si="23"/>
        <v>4.5442271070007054</v>
      </c>
      <c r="M74" s="16">
        <f t="shared" si="24"/>
        <v>0.60000000000000009</v>
      </c>
      <c r="N74" s="16">
        <f t="shared" si="25"/>
        <v>1.4594519519326425</v>
      </c>
      <c r="O74" s="17">
        <f t="shared" si="26"/>
        <v>2</v>
      </c>
      <c r="P74" s="16">
        <f t="shared" si="27"/>
        <v>4.5442271070007054</v>
      </c>
      <c r="Q74" s="16">
        <f t="shared" si="28"/>
        <v>0.60000000000000009</v>
      </c>
      <c r="R74" s="17">
        <f t="shared" si="29"/>
        <v>1.4594519519326425</v>
      </c>
      <c r="S74" s="16">
        <f t="shared" si="30"/>
        <v>2</v>
      </c>
      <c r="T74" s="17">
        <f t="shared" si="31"/>
        <v>1</v>
      </c>
      <c r="U74" s="18" t="str">
        <f t="shared" si="32"/>
        <v/>
      </c>
      <c r="V74" s="18" t="str">
        <f t="shared" si="33"/>
        <v/>
      </c>
      <c r="W74" s="18">
        <f t="shared" si="34"/>
        <v>4.9000000000000004</v>
      </c>
      <c r="X74" s="18">
        <f t="shared" si="35"/>
        <v>1.5</v>
      </c>
      <c r="Y74" s="18" t="str">
        <f t="shared" si="36"/>
        <v/>
      </c>
      <c r="Z74" s="18" t="str">
        <f t="shared" si="37"/>
        <v/>
      </c>
      <c r="AA74" s="20"/>
    </row>
    <row r="75" spans="1:27" s="8" customFormat="1">
      <c r="A75" s="14" t="s">
        <v>91</v>
      </c>
      <c r="B75" s="14" t="s">
        <v>34</v>
      </c>
      <c r="C75" s="14" t="s">
        <v>36</v>
      </c>
      <c r="D75" s="14" t="s">
        <v>62</v>
      </c>
      <c r="E75" s="1" t="s">
        <v>80</v>
      </c>
      <c r="L75" s="16">
        <f t="shared" si="23"/>
        <v>4.1773197148410848</v>
      </c>
      <c r="M75" s="16">
        <f t="shared" si="24"/>
        <v>0.73484692283495356</v>
      </c>
      <c r="N75" s="16">
        <f t="shared" si="25"/>
        <v>1.7349351572897476</v>
      </c>
      <c r="O75" s="17">
        <f t="shared" si="26"/>
        <v>2</v>
      </c>
      <c r="P75" s="16">
        <f t="shared" si="27"/>
        <v>4.1773197148410848</v>
      </c>
      <c r="Q75" s="16">
        <f t="shared" si="28"/>
        <v>0.73484692283495356</v>
      </c>
      <c r="R75" s="17">
        <f t="shared" si="29"/>
        <v>1.7349351572897476</v>
      </c>
      <c r="S75" s="16">
        <f t="shared" si="30"/>
        <v>2</v>
      </c>
      <c r="T75" s="17">
        <f t="shared" si="31"/>
        <v>1</v>
      </c>
      <c r="U75" s="18" t="str">
        <f t="shared" si="32"/>
        <v/>
      </c>
      <c r="V75" s="18" t="str">
        <f t="shared" si="33"/>
        <v/>
      </c>
      <c r="W75" s="18">
        <f t="shared" si="34"/>
        <v>4.7</v>
      </c>
      <c r="X75" s="18">
        <f t="shared" si="35"/>
        <v>1.2</v>
      </c>
      <c r="Y75" s="18" t="str">
        <f t="shared" si="36"/>
        <v/>
      </c>
      <c r="Z75" s="18" t="str">
        <f t="shared" si="37"/>
        <v/>
      </c>
      <c r="AA75" s="20"/>
    </row>
    <row r="76" spans="1:27" s="8" customFormat="1">
      <c r="A76" s="14" t="s">
        <v>81</v>
      </c>
      <c r="B76" s="14" t="s">
        <v>56</v>
      </c>
      <c r="C76" s="14" t="s">
        <v>27</v>
      </c>
      <c r="D76" s="14" t="s">
        <v>38</v>
      </c>
      <c r="E76" s="1" t="s">
        <v>80</v>
      </c>
      <c r="L76" s="16">
        <f t="shared" si="23"/>
        <v>4.0124805295477763</v>
      </c>
      <c r="M76" s="16">
        <f t="shared" si="24"/>
        <v>0.65574385243019973</v>
      </c>
      <c r="N76" s="16">
        <f t="shared" si="25"/>
        <v>1.8165902124584952</v>
      </c>
      <c r="O76" s="17">
        <f t="shared" si="26"/>
        <v>2</v>
      </c>
      <c r="P76" s="16">
        <f t="shared" si="27"/>
        <v>4.0124805295477763</v>
      </c>
      <c r="Q76" s="16">
        <f t="shared" si="28"/>
        <v>0.65574385243019973</v>
      </c>
      <c r="R76" s="17">
        <f t="shared" si="29"/>
        <v>1.8165902124584952</v>
      </c>
      <c r="S76" s="16">
        <f t="shared" si="30"/>
        <v>2</v>
      </c>
      <c r="T76" s="17">
        <f t="shared" si="31"/>
        <v>1</v>
      </c>
      <c r="U76" s="18" t="str">
        <f t="shared" si="32"/>
        <v/>
      </c>
      <c r="V76" s="18" t="str">
        <f t="shared" si="33"/>
        <v/>
      </c>
      <c r="W76" s="18">
        <f t="shared" si="34"/>
        <v>4.3</v>
      </c>
      <c r="X76" s="18">
        <f t="shared" si="35"/>
        <v>1.3</v>
      </c>
      <c r="Y76" s="18" t="str">
        <f t="shared" si="36"/>
        <v/>
      </c>
      <c r="Z76" s="18" t="str">
        <f t="shared" si="37"/>
        <v/>
      </c>
      <c r="AA76" s="20"/>
    </row>
    <row r="77" spans="1:27" s="8" customFormat="1">
      <c r="A77" s="14" t="s">
        <v>85</v>
      </c>
      <c r="B77" s="14" t="s">
        <v>28</v>
      </c>
      <c r="C77" s="14" t="s">
        <v>55</v>
      </c>
      <c r="D77" s="14" t="s">
        <v>23</v>
      </c>
      <c r="E77" s="1" t="s">
        <v>80</v>
      </c>
      <c r="L77" s="16">
        <f t="shared" si="23"/>
        <v>4.2272922775696502</v>
      </c>
      <c r="M77" s="16">
        <f t="shared" si="24"/>
        <v>0.48989794855663532</v>
      </c>
      <c r="N77" s="16">
        <f t="shared" si="25"/>
        <v>1.6217274740226855</v>
      </c>
      <c r="O77" s="17">
        <f t="shared" si="26"/>
        <v>2</v>
      </c>
      <c r="P77" s="16">
        <f t="shared" si="27"/>
        <v>4.2272922775696502</v>
      </c>
      <c r="Q77" s="16">
        <f t="shared" si="28"/>
        <v>0.48989794855663532</v>
      </c>
      <c r="R77" s="17">
        <f t="shared" si="29"/>
        <v>1.6217274740226855</v>
      </c>
      <c r="S77" s="16">
        <f t="shared" si="30"/>
        <v>2</v>
      </c>
      <c r="T77" s="17">
        <f t="shared" si="31"/>
        <v>1</v>
      </c>
      <c r="U77" s="18" t="str">
        <f t="shared" si="32"/>
        <v/>
      </c>
      <c r="V77" s="18" t="str">
        <f t="shared" si="33"/>
        <v/>
      </c>
      <c r="W77" s="18">
        <f t="shared" si="34"/>
        <v>4.4000000000000004</v>
      </c>
      <c r="X77" s="18">
        <f t="shared" si="35"/>
        <v>1.4</v>
      </c>
      <c r="Y77" s="18" t="str">
        <f t="shared" si="36"/>
        <v/>
      </c>
      <c r="Z77" s="18" t="str">
        <f t="shared" si="37"/>
        <v/>
      </c>
      <c r="AA77" s="20"/>
    </row>
    <row r="78" spans="1:27" s="8" customFormat="1">
      <c r="A78" s="14" t="s">
        <v>33</v>
      </c>
      <c r="B78" s="14" t="s">
        <v>34</v>
      </c>
      <c r="C78" s="14" t="s">
        <v>35</v>
      </c>
      <c r="D78" s="14" t="s">
        <v>23</v>
      </c>
      <c r="E78" s="1" t="s">
        <v>80</v>
      </c>
      <c r="L78" s="16">
        <f t="shared" si="23"/>
        <v>4.6551047249229525</v>
      </c>
      <c r="M78" s="16">
        <f t="shared" si="24"/>
        <v>0</v>
      </c>
      <c r="N78" s="16">
        <f t="shared" si="25"/>
        <v>1.3379088160259656</v>
      </c>
      <c r="O78" s="17">
        <f t="shared" si="26"/>
        <v>2</v>
      </c>
      <c r="P78" s="16">
        <f t="shared" si="27"/>
        <v>4.6551047249229525</v>
      </c>
      <c r="Q78" s="16">
        <f t="shared" si="28"/>
        <v>0</v>
      </c>
      <c r="R78" s="17">
        <f t="shared" si="29"/>
        <v>1.3379088160259656</v>
      </c>
      <c r="S78" s="16">
        <f t="shared" si="30"/>
        <v>2</v>
      </c>
      <c r="T78" s="17">
        <f t="shared" si="31"/>
        <v>1</v>
      </c>
      <c r="U78" s="18" t="str">
        <f t="shared" si="32"/>
        <v/>
      </c>
      <c r="V78" s="18" t="str">
        <f t="shared" si="33"/>
        <v/>
      </c>
      <c r="W78" s="18">
        <f t="shared" si="34"/>
        <v>4.8</v>
      </c>
      <c r="X78" s="18">
        <f t="shared" si="35"/>
        <v>1.4</v>
      </c>
      <c r="Y78" s="18" t="str">
        <f t="shared" si="36"/>
        <v/>
      </c>
      <c r="Z78" s="18" t="str">
        <f t="shared" si="37"/>
        <v/>
      </c>
      <c r="AA78" s="20"/>
    </row>
    <row r="79" spans="1:27" s="8" customFormat="1">
      <c r="A79" s="14" t="s">
        <v>93</v>
      </c>
      <c r="B79" s="14" t="s">
        <v>28</v>
      </c>
      <c r="C79" s="14" t="s">
        <v>46</v>
      </c>
      <c r="D79" s="14" t="s">
        <v>51</v>
      </c>
      <c r="E79" s="1" t="s">
        <v>80</v>
      </c>
      <c r="L79" s="16">
        <f t="shared" si="23"/>
        <v>4.8507731342539611</v>
      </c>
      <c r="M79" s="16">
        <f t="shared" si="24"/>
        <v>0.42426406871192862</v>
      </c>
      <c r="N79" s="16">
        <f t="shared" si="25"/>
        <v>0.96436507609929556</v>
      </c>
      <c r="O79" s="17">
        <f t="shared" si="26"/>
        <v>2</v>
      </c>
      <c r="P79" s="16">
        <f t="shared" si="27"/>
        <v>4.8507731342539611</v>
      </c>
      <c r="Q79" s="16">
        <f t="shared" si="28"/>
        <v>0.42426406871192862</v>
      </c>
      <c r="R79" s="17">
        <f t="shared" si="29"/>
        <v>0.96436507609929556</v>
      </c>
      <c r="S79" s="16">
        <f t="shared" si="30"/>
        <v>2</v>
      </c>
      <c r="T79" s="17">
        <f t="shared" si="31"/>
        <v>1</v>
      </c>
      <c r="U79" s="18" t="str">
        <f t="shared" si="32"/>
        <v/>
      </c>
      <c r="V79" s="18" t="str">
        <f t="shared" si="33"/>
        <v/>
      </c>
      <c r="W79" s="18">
        <f t="shared" si="34"/>
        <v>5</v>
      </c>
      <c r="X79" s="18">
        <f t="shared" si="35"/>
        <v>1.7</v>
      </c>
      <c r="Y79" s="18" t="str">
        <f t="shared" si="36"/>
        <v/>
      </c>
      <c r="Z79" s="18" t="str">
        <f t="shared" si="37"/>
        <v/>
      </c>
      <c r="AA79" s="20"/>
    </row>
    <row r="80" spans="1:27" s="8" customFormat="1">
      <c r="A80" s="14" t="s">
        <v>89</v>
      </c>
      <c r="B80" s="14" t="s">
        <v>56</v>
      </c>
      <c r="C80" s="14" t="s">
        <v>76</v>
      </c>
      <c r="D80" s="14" t="s">
        <v>45</v>
      </c>
      <c r="E80" s="1" t="s">
        <v>80</v>
      </c>
      <c r="L80" s="16">
        <f t="shared" si="23"/>
        <v>4.052159917870962</v>
      </c>
      <c r="M80" s="16">
        <f t="shared" si="24"/>
        <v>0.86602540378443837</v>
      </c>
      <c r="N80" s="16">
        <f t="shared" si="25"/>
        <v>1.726267650163207</v>
      </c>
      <c r="O80" s="17">
        <f t="shared" si="26"/>
        <v>2</v>
      </c>
      <c r="P80" s="16">
        <f t="shared" si="27"/>
        <v>4.052159917870962</v>
      </c>
      <c r="Q80" s="16">
        <f t="shared" si="28"/>
        <v>0.86602540378443837</v>
      </c>
      <c r="R80" s="17">
        <f t="shared" si="29"/>
        <v>1.726267650163207</v>
      </c>
      <c r="S80" s="16">
        <f t="shared" si="30"/>
        <v>2</v>
      </c>
      <c r="T80" s="17">
        <f t="shared" si="31"/>
        <v>1</v>
      </c>
      <c r="U80" s="18" t="str">
        <f t="shared" si="32"/>
        <v/>
      </c>
      <c r="V80" s="18" t="str">
        <f t="shared" si="33"/>
        <v/>
      </c>
      <c r="W80" s="18">
        <f t="shared" si="34"/>
        <v>4.5</v>
      </c>
      <c r="X80" s="18">
        <f t="shared" si="35"/>
        <v>1.5</v>
      </c>
      <c r="Y80" s="18" t="str">
        <f t="shared" si="36"/>
        <v/>
      </c>
      <c r="Z80" s="18" t="str">
        <f t="shared" si="37"/>
        <v/>
      </c>
      <c r="AA80" s="20"/>
    </row>
    <row r="81" spans="1:27" s="8" customFormat="1">
      <c r="A81" s="14" t="s">
        <v>41</v>
      </c>
      <c r="B81" s="14" t="s">
        <v>97</v>
      </c>
      <c r="C81" s="14" t="s">
        <v>22</v>
      </c>
      <c r="D81" s="14" t="s">
        <v>67</v>
      </c>
      <c r="E81" s="1" t="s">
        <v>80</v>
      </c>
      <c r="L81" s="16">
        <f t="shared" si="23"/>
        <v>2.947880594596735</v>
      </c>
      <c r="M81" s="16">
        <f t="shared" si="24"/>
        <v>1.7606816861659005</v>
      </c>
      <c r="N81" s="16">
        <f t="shared" si="25"/>
        <v>2.8861739379323628</v>
      </c>
      <c r="O81" s="17">
        <f t="shared" si="26"/>
        <v>2</v>
      </c>
      <c r="P81" s="16">
        <f t="shared" si="27"/>
        <v>2.947880594596735</v>
      </c>
      <c r="Q81" s="16">
        <f t="shared" si="28"/>
        <v>1.7606816861659005</v>
      </c>
      <c r="R81" s="17">
        <f t="shared" si="29"/>
        <v>2.8861739379323628</v>
      </c>
      <c r="S81" s="16">
        <f t="shared" si="30"/>
        <v>2</v>
      </c>
      <c r="T81" s="17">
        <f t="shared" si="31"/>
        <v>1</v>
      </c>
      <c r="U81" s="18" t="str">
        <f t="shared" si="32"/>
        <v/>
      </c>
      <c r="V81" s="18" t="str">
        <f t="shared" si="33"/>
        <v/>
      </c>
      <c r="W81" s="18">
        <f t="shared" si="34"/>
        <v>3.5</v>
      </c>
      <c r="X81" s="18">
        <f t="shared" si="35"/>
        <v>1</v>
      </c>
      <c r="Y81" s="18" t="str">
        <f t="shared" si="36"/>
        <v/>
      </c>
      <c r="Z81" s="18" t="str">
        <f t="shared" si="37"/>
        <v/>
      </c>
      <c r="AA81" s="20"/>
    </row>
    <row r="82" spans="1:27" s="8" customFormat="1">
      <c r="A82" s="14" t="s">
        <v>74</v>
      </c>
      <c r="B82" s="14" t="s">
        <v>84</v>
      </c>
      <c r="C82" s="14" t="s">
        <v>65</v>
      </c>
      <c r="D82" s="14" t="s">
        <v>29</v>
      </c>
      <c r="E82" s="1" t="s">
        <v>80</v>
      </c>
      <c r="L82" s="16">
        <f t="shared" si="23"/>
        <v>3.1764760348537178</v>
      </c>
      <c r="M82" s="16">
        <f t="shared" si="24"/>
        <v>1.7146428199482244</v>
      </c>
      <c r="N82" s="16">
        <f t="shared" si="25"/>
        <v>2.7658633371878665</v>
      </c>
      <c r="O82" s="17">
        <f t="shared" si="26"/>
        <v>2</v>
      </c>
      <c r="P82" s="16">
        <f t="shared" si="27"/>
        <v>3.1764760348537178</v>
      </c>
      <c r="Q82" s="16">
        <f t="shared" si="28"/>
        <v>1.7146428199482244</v>
      </c>
      <c r="R82" s="17">
        <f t="shared" si="29"/>
        <v>2.7658633371878665</v>
      </c>
      <c r="S82" s="16">
        <f t="shared" si="30"/>
        <v>2</v>
      </c>
      <c r="T82" s="17">
        <f t="shared" si="31"/>
        <v>1</v>
      </c>
      <c r="U82" s="18" t="str">
        <f t="shared" si="32"/>
        <v/>
      </c>
      <c r="V82" s="18" t="str">
        <f t="shared" si="33"/>
        <v/>
      </c>
      <c r="W82" s="18">
        <f t="shared" si="34"/>
        <v>3.8</v>
      </c>
      <c r="X82" s="18">
        <f t="shared" si="35"/>
        <v>1.1000000000000001</v>
      </c>
      <c r="Y82" s="18" t="str">
        <f t="shared" si="36"/>
        <v/>
      </c>
      <c r="Z82" s="18" t="str">
        <f t="shared" si="37"/>
        <v/>
      </c>
      <c r="AA82" s="20"/>
    </row>
    <row r="83" spans="1:27" s="8" customFormat="1">
      <c r="A83" s="14" t="s">
        <v>74</v>
      </c>
      <c r="B83" s="14" t="s">
        <v>84</v>
      </c>
      <c r="C83" s="14" t="s">
        <v>58</v>
      </c>
      <c r="D83" s="14" t="s">
        <v>67</v>
      </c>
      <c r="E83" s="1" t="s">
        <v>80</v>
      </c>
      <c r="L83" s="16">
        <f t="shared" si="23"/>
        <v>3.0610455730027937</v>
      </c>
      <c r="M83" s="16">
        <f t="shared" si="24"/>
        <v>1.7944358444926358</v>
      </c>
      <c r="N83" s="16">
        <f t="shared" si="25"/>
        <v>2.879236009777594</v>
      </c>
      <c r="O83" s="17">
        <f t="shared" si="26"/>
        <v>2</v>
      </c>
      <c r="P83" s="16">
        <f t="shared" si="27"/>
        <v>3.0610455730027937</v>
      </c>
      <c r="Q83" s="16">
        <f t="shared" si="28"/>
        <v>1.7944358444926358</v>
      </c>
      <c r="R83" s="17">
        <f t="shared" si="29"/>
        <v>2.879236009777594</v>
      </c>
      <c r="S83" s="16">
        <f t="shared" si="30"/>
        <v>2</v>
      </c>
      <c r="T83" s="17">
        <f t="shared" si="31"/>
        <v>1</v>
      </c>
      <c r="U83" s="18" t="str">
        <f t="shared" si="32"/>
        <v/>
      </c>
      <c r="V83" s="18" t="str">
        <f t="shared" si="33"/>
        <v/>
      </c>
      <c r="W83" s="18">
        <f t="shared" si="34"/>
        <v>3.7</v>
      </c>
      <c r="X83" s="18">
        <f t="shared" si="35"/>
        <v>1</v>
      </c>
      <c r="Y83" s="18" t="str">
        <f t="shared" si="36"/>
        <v/>
      </c>
      <c r="Z83" s="18" t="str">
        <f t="shared" si="37"/>
        <v/>
      </c>
      <c r="AA83" s="20"/>
    </row>
    <row r="84" spans="1:27" s="8" customFormat="1">
      <c r="A84" s="14" t="s">
        <v>60</v>
      </c>
      <c r="B84" s="14" t="s">
        <v>86</v>
      </c>
      <c r="C84" s="14" t="s">
        <v>50</v>
      </c>
      <c r="D84" s="14" t="s">
        <v>62</v>
      </c>
      <c r="E84" s="1" t="s">
        <v>80</v>
      </c>
      <c r="L84" s="16">
        <f t="shared" si="23"/>
        <v>3.3749074061372406</v>
      </c>
      <c r="M84" s="16">
        <f t="shared" si="24"/>
        <v>1.3638181696985856</v>
      </c>
      <c r="N84" s="16">
        <f t="shared" si="25"/>
        <v>2.431049156228644</v>
      </c>
      <c r="O84" s="17">
        <f t="shared" si="26"/>
        <v>2</v>
      </c>
      <c r="P84" s="16">
        <f t="shared" si="27"/>
        <v>3.3749074061372406</v>
      </c>
      <c r="Q84" s="16">
        <f t="shared" si="28"/>
        <v>1.3638181696985856</v>
      </c>
      <c r="R84" s="17">
        <f t="shared" si="29"/>
        <v>2.431049156228644</v>
      </c>
      <c r="S84" s="16">
        <f t="shared" si="30"/>
        <v>2</v>
      </c>
      <c r="T84" s="17">
        <f t="shared" si="31"/>
        <v>1</v>
      </c>
      <c r="U84" s="18" t="str">
        <f t="shared" si="32"/>
        <v/>
      </c>
      <c r="V84" s="18" t="str">
        <f t="shared" si="33"/>
        <v/>
      </c>
      <c r="W84" s="18">
        <f t="shared" si="34"/>
        <v>3.9</v>
      </c>
      <c r="X84" s="18">
        <f t="shared" si="35"/>
        <v>1.2</v>
      </c>
      <c r="Y84" s="18" t="str">
        <f t="shared" si="36"/>
        <v/>
      </c>
      <c r="Z84" s="18" t="str">
        <f t="shared" si="37"/>
        <v/>
      </c>
      <c r="AA84" s="20"/>
    </row>
    <row r="85" spans="1:27" s="8" customFormat="1">
      <c r="A85" s="14" t="s">
        <v>89</v>
      </c>
      <c r="B85" s="14" t="s">
        <v>86</v>
      </c>
      <c r="C85" s="14" t="s">
        <v>21</v>
      </c>
      <c r="D85" s="14" t="s">
        <v>59</v>
      </c>
      <c r="E85" s="1" t="s">
        <v>80</v>
      </c>
      <c r="L85" s="16">
        <f t="shared" si="23"/>
        <v>4.6076024134033089</v>
      </c>
      <c r="M85" s="16">
        <f t="shared" si="24"/>
        <v>0.88317608663278435</v>
      </c>
      <c r="N85" s="16">
        <f t="shared" si="25"/>
        <v>1.3820274961085257</v>
      </c>
      <c r="O85" s="17">
        <f t="shared" si="26"/>
        <v>2</v>
      </c>
      <c r="P85" s="16">
        <f t="shared" si="27"/>
        <v>4.6076024134033089</v>
      </c>
      <c r="Q85" s="16">
        <f t="shared" si="28"/>
        <v>0.88317608663278435</v>
      </c>
      <c r="R85" s="17">
        <f t="shared" si="29"/>
        <v>1.3820274961085257</v>
      </c>
      <c r="S85" s="16">
        <f t="shared" si="30"/>
        <v>2</v>
      </c>
      <c r="T85" s="17">
        <f t="shared" si="31"/>
        <v>1</v>
      </c>
      <c r="U85" s="18" t="str">
        <f t="shared" si="32"/>
        <v/>
      </c>
      <c r="V85" s="18" t="str">
        <f t="shared" si="33"/>
        <v/>
      </c>
      <c r="W85" s="18">
        <f t="shared" si="34"/>
        <v>5.0999999999999996</v>
      </c>
      <c r="X85" s="18">
        <f t="shared" si="35"/>
        <v>1.6</v>
      </c>
      <c r="Y85" s="18" t="str">
        <f t="shared" si="36"/>
        <v/>
      </c>
      <c r="Z85" s="18" t="str">
        <f t="shared" si="37"/>
        <v/>
      </c>
      <c r="AA85" s="20"/>
    </row>
    <row r="86" spans="1:27" s="8" customFormat="1">
      <c r="A86" s="14" t="s">
        <v>49</v>
      </c>
      <c r="B86" s="14" t="s">
        <v>28</v>
      </c>
      <c r="C86" s="14" t="s">
        <v>76</v>
      </c>
      <c r="D86" s="14" t="s">
        <v>45</v>
      </c>
      <c r="E86" s="1" t="s">
        <v>80</v>
      </c>
      <c r="L86" s="16">
        <f t="shared" si="23"/>
        <v>3.8379682124790975</v>
      </c>
      <c r="M86" s="16">
        <f t="shared" si="24"/>
        <v>1.4491376746189435</v>
      </c>
      <c r="N86" s="16">
        <f t="shared" si="25"/>
        <v>2.0904544960366871</v>
      </c>
      <c r="O86" s="17">
        <f t="shared" si="26"/>
        <v>2</v>
      </c>
      <c r="P86" s="16">
        <f t="shared" si="27"/>
        <v>3.8379682124790975</v>
      </c>
      <c r="Q86" s="16">
        <f t="shared" si="28"/>
        <v>1.4491376746189435</v>
      </c>
      <c r="R86" s="17">
        <f t="shared" si="29"/>
        <v>2.0904544960366871</v>
      </c>
      <c r="S86" s="16">
        <f t="shared" si="30"/>
        <v>2</v>
      </c>
      <c r="T86" s="17">
        <f t="shared" si="31"/>
        <v>1</v>
      </c>
      <c r="U86" s="18" t="str">
        <f t="shared" si="32"/>
        <v/>
      </c>
      <c r="V86" s="18" t="str">
        <f t="shared" si="33"/>
        <v/>
      </c>
      <c r="W86" s="18">
        <f t="shared" si="34"/>
        <v>4.5</v>
      </c>
      <c r="X86" s="18">
        <f t="shared" si="35"/>
        <v>1.5</v>
      </c>
      <c r="Y86" s="18" t="str">
        <f t="shared" si="36"/>
        <v/>
      </c>
      <c r="Z86" s="18" t="str">
        <f t="shared" si="37"/>
        <v/>
      </c>
      <c r="AA86" s="20"/>
    </row>
    <row r="87" spans="1:27" s="8" customFormat="1">
      <c r="A87" s="14" t="s">
        <v>89</v>
      </c>
      <c r="B87" s="14" t="s">
        <v>53</v>
      </c>
      <c r="C87" s="14" t="s">
        <v>76</v>
      </c>
      <c r="D87" s="14" t="s">
        <v>59</v>
      </c>
      <c r="E87" s="1" t="s">
        <v>80</v>
      </c>
      <c r="L87" s="16">
        <f t="shared" si="23"/>
        <v>4.1060930335295618</v>
      </c>
      <c r="M87" s="16">
        <f t="shared" si="24"/>
        <v>1.0630145812734648</v>
      </c>
      <c r="N87" s="16">
        <f t="shared" si="25"/>
        <v>1.667333200053307</v>
      </c>
      <c r="O87" s="17">
        <f t="shared" si="26"/>
        <v>2</v>
      </c>
      <c r="P87" s="16">
        <f t="shared" si="27"/>
        <v>4.1060930335295618</v>
      </c>
      <c r="Q87" s="16">
        <f t="shared" si="28"/>
        <v>1.0630145812734648</v>
      </c>
      <c r="R87" s="17">
        <f t="shared" si="29"/>
        <v>1.667333200053307</v>
      </c>
      <c r="S87" s="16">
        <f t="shared" si="30"/>
        <v>2</v>
      </c>
      <c r="T87" s="17">
        <f t="shared" si="31"/>
        <v>1</v>
      </c>
      <c r="U87" s="18" t="str">
        <f t="shared" si="32"/>
        <v/>
      </c>
      <c r="V87" s="18" t="str">
        <f t="shared" si="33"/>
        <v/>
      </c>
      <c r="W87" s="18">
        <f t="shared" si="34"/>
        <v>4.5</v>
      </c>
      <c r="X87" s="18">
        <f t="shared" si="35"/>
        <v>1.6</v>
      </c>
      <c r="Y87" s="18" t="str">
        <f t="shared" si="36"/>
        <v/>
      </c>
      <c r="Z87" s="18" t="str">
        <f t="shared" si="37"/>
        <v/>
      </c>
      <c r="AA87" s="20"/>
    </row>
    <row r="88" spans="1:27" s="8" customFormat="1">
      <c r="A88" s="14" t="s">
        <v>93</v>
      </c>
      <c r="B88" s="14" t="s">
        <v>44</v>
      </c>
      <c r="C88" s="14" t="s">
        <v>36</v>
      </c>
      <c r="D88" s="14" t="s">
        <v>45</v>
      </c>
      <c r="E88" s="1" t="s">
        <v>80</v>
      </c>
      <c r="L88" s="16">
        <f t="shared" si="23"/>
        <v>4.5486261662176641</v>
      </c>
      <c r="M88" s="16">
        <f t="shared" si="24"/>
        <v>0.34641016151377552</v>
      </c>
      <c r="N88" s="16">
        <f t="shared" si="25"/>
        <v>1.2999999999999998</v>
      </c>
      <c r="O88" s="17">
        <f t="shared" si="26"/>
        <v>2</v>
      </c>
      <c r="P88" s="16">
        <f t="shared" si="27"/>
        <v>4.5486261662176641</v>
      </c>
      <c r="Q88" s="16">
        <f t="shared" si="28"/>
        <v>0.34641016151377552</v>
      </c>
      <c r="R88" s="17">
        <f t="shared" si="29"/>
        <v>1.2999999999999998</v>
      </c>
      <c r="S88" s="16">
        <f t="shared" si="30"/>
        <v>2</v>
      </c>
      <c r="T88" s="17">
        <f t="shared" si="31"/>
        <v>1</v>
      </c>
      <c r="U88" s="18" t="str">
        <f t="shared" si="32"/>
        <v/>
      </c>
      <c r="V88" s="18" t="str">
        <f t="shared" si="33"/>
        <v/>
      </c>
      <c r="W88" s="18">
        <f t="shared" si="34"/>
        <v>4.7</v>
      </c>
      <c r="X88" s="18">
        <f t="shared" si="35"/>
        <v>1.5</v>
      </c>
      <c r="Y88" s="18" t="str">
        <f t="shared" si="36"/>
        <v/>
      </c>
      <c r="Z88" s="18" t="str">
        <f t="shared" si="37"/>
        <v/>
      </c>
      <c r="AA88" s="20"/>
    </row>
    <row r="89" spans="1:27" s="8" customFormat="1">
      <c r="A89" s="14" t="s">
        <v>83</v>
      </c>
      <c r="B89" s="14" t="s">
        <v>42</v>
      </c>
      <c r="C89" s="14" t="s">
        <v>55</v>
      </c>
      <c r="D89" s="14" t="s">
        <v>38</v>
      </c>
      <c r="E89" s="1" t="s">
        <v>80</v>
      </c>
      <c r="L89" s="16">
        <f t="shared" si="23"/>
        <v>4.1012193308819764</v>
      </c>
      <c r="M89" s="16">
        <f t="shared" si="24"/>
        <v>0.81853527718724473</v>
      </c>
      <c r="N89" s="16">
        <f t="shared" si="25"/>
        <v>1.9646882704388502</v>
      </c>
      <c r="O89" s="17">
        <f t="shared" si="26"/>
        <v>2</v>
      </c>
      <c r="P89" s="16">
        <f t="shared" si="27"/>
        <v>4.1012193308819764</v>
      </c>
      <c r="Q89" s="16">
        <f t="shared" si="28"/>
        <v>0.81853527718724473</v>
      </c>
      <c r="R89" s="17">
        <f t="shared" si="29"/>
        <v>1.9646882704388502</v>
      </c>
      <c r="S89" s="16">
        <f t="shared" si="30"/>
        <v>2</v>
      </c>
      <c r="T89" s="17">
        <f t="shared" si="31"/>
        <v>1</v>
      </c>
      <c r="U89" s="18" t="str">
        <f t="shared" si="32"/>
        <v/>
      </c>
      <c r="V89" s="18" t="str">
        <f t="shared" si="33"/>
        <v/>
      </c>
      <c r="W89" s="18">
        <f t="shared" si="34"/>
        <v>4.4000000000000004</v>
      </c>
      <c r="X89" s="18">
        <f t="shared" si="35"/>
        <v>1.3</v>
      </c>
      <c r="Y89" s="18" t="str">
        <f t="shared" si="36"/>
        <v/>
      </c>
      <c r="Z89" s="18" t="str">
        <f t="shared" si="37"/>
        <v/>
      </c>
      <c r="AA89" s="20"/>
    </row>
    <row r="90" spans="1:27" s="8" customFormat="1">
      <c r="A90" s="14" t="s">
        <v>92</v>
      </c>
      <c r="B90" s="14" t="s">
        <v>28</v>
      </c>
      <c r="C90" s="14" t="s">
        <v>73</v>
      </c>
      <c r="D90" s="14" t="s">
        <v>38</v>
      </c>
      <c r="E90" s="1" t="s">
        <v>80</v>
      </c>
      <c r="L90" s="16">
        <f t="shared" si="23"/>
        <v>3.482814953453599</v>
      </c>
      <c r="M90" s="16">
        <f t="shared" si="24"/>
        <v>1.4071247279470291</v>
      </c>
      <c r="N90" s="16">
        <f t="shared" si="25"/>
        <v>2.3000000000000007</v>
      </c>
      <c r="O90" s="17">
        <f t="shared" si="26"/>
        <v>2</v>
      </c>
      <c r="P90" s="16">
        <f t="shared" si="27"/>
        <v>3.482814953453599</v>
      </c>
      <c r="Q90" s="16">
        <f t="shared" si="28"/>
        <v>1.4071247279470291</v>
      </c>
      <c r="R90" s="17">
        <f t="shared" si="29"/>
        <v>2.3000000000000007</v>
      </c>
      <c r="S90" s="16">
        <f t="shared" si="30"/>
        <v>2</v>
      </c>
      <c r="T90" s="17">
        <f t="shared" si="31"/>
        <v>1</v>
      </c>
      <c r="U90" s="18" t="str">
        <f t="shared" si="32"/>
        <v/>
      </c>
      <c r="V90" s="18" t="str">
        <f t="shared" si="33"/>
        <v/>
      </c>
      <c r="W90" s="18">
        <f t="shared" si="34"/>
        <v>4.0999999999999996</v>
      </c>
      <c r="X90" s="18">
        <f t="shared" si="35"/>
        <v>1.3</v>
      </c>
      <c r="Y90" s="18" t="str">
        <f t="shared" si="36"/>
        <v/>
      </c>
      <c r="Z90" s="18" t="str">
        <f t="shared" si="37"/>
        <v/>
      </c>
      <c r="AA90" s="20"/>
    </row>
    <row r="91" spans="1:27" s="8" customFormat="1">
      <c r="A91" s="14" t="s">
        <v>74</v>
      </c>
      <c r="B91" s="14" t="s">
        <v>95</v>
      </c>
      <c r="C91" s="14" t="s">
        <v>61</v>
      </c>
      <c r="D91" s="14" t="s">
        <v>38</v>
      </c>
      <c r="E91" s="1" t="s">
        <v>80</v>
      </c>
      <c r="L91" s="16">
        <f t="shared" si="23"/>
        <v>3.3970575502926059</v>
      </c>
      <c r="M91" s="16">
        <f t="shared" si="24"/>
        <v>1.5588457268119893</v>
      </c>
      <c r="N91" s="16">
        <f t="shared" si="25"/>
        <v>2.5179356624028348</v>
      </c>
      <c r="O91" s="17">
        <f t="shared" si="26"/>
        <v>2</v>
      </c>
      <c r="P91" s="16">
        <f t="shared" si="27"/>
        <v>3.3970575502926059</v>
      </c>
      <c r="Q91" s="16">
        <f t="shared" si="28"/>
        <v>1.5588457268119893</v>
      </c>
      <c r="R91" s="17">
        <f t="shared" si="29"/>
        <v>2.5179356624028348</v>
      </c>
      <c r="S91" s="16">
        <f t="shared" si="30"/>
        <v>2</v>
      </c>
      <c r="T91" s="17">
        <f t="shared" si="31"/>
        <v>1</v>
      </c>
      <c r="U91" s="18" t="str">
        <f t="shared" si="32"/>
        <v/>
      </c>
      <c r="V91" s="18" t="str">
        <f t="shared" si="33"/>
        <v/>
      </c>
      <c r="W91" s="18">
        <f t="shared" si="34"/>
        <v>4</v>
      </c>
      <c r="X91" s="18">
        <f t="shared" si="35"/>
        <v>1.3</v>
      </c>
      <c r="Y91" s="18" t="str">
        <f t="shared" si="36"/>
        <v/>
      </c>
      <c r="Z91" s="18" t="str">
        <f t="shared" si="37"/>
        <v/>
      </c>
      <c r="AA91" s="20"/>
    </row>
    <row r="92" spans="1:27" s="8" customFormat="1">
      <c r="A92" s="14" t="s">
        <v>74</v>
      </c>
      <c r="B92" s="14" t="s">
        <v>97</v>
      </c>
      <c r="C92" s="14" t="s">
        <v>55</v>
      </c>
      <c r="D92" s="14" t="s">
        <v>62</v>
      </c>
      <c r="E92" s="1" t="s">
        <v>80</v>
      </c>
      <c r="L92" s="16">
        <f t="shared" si="23"/>
        <v>3.7013511046643495</v>
      </c>
      <c r="M92" s="16">
        <f t="shared" si="24"/>
        <v>1.3892443989449801</v>
      </c>
      <c r="N92" s="16">
        <f t="shared" si="25"/>
        <v>2.2847319317591728</v>
      </c>
      <c r="O92" s="17">
        <f t="shared" si="26"/>
        <v>2</v>
      </c>
      <c r="P92" s="16">
        <f t="shared" si="27"/>
        <v>3.7013511046643495</v>
      </c>
      <c r="Q92" s="16">
        <f t="shared" si="28"/>
        <v>1.3892443989449801</v>
      </c>
      <c r="R92" s="17">
        <f t="shared" si="29"/>
        <v>2.2847319317591728</v>
      </c>
      <c r="S92" s="16">
        <f t="shared" si="30"/>
        <v>2</v>
      </c>
      <c r="T92" s="17">
        <f t="shared" si="31"/>
        <v>1</v>
      </c>
      <c r="U92" s="18" t="str">
        <f t="shared" si="32"/>
        <v/>
      </c>
      <c r="V92" s="18" t="str">
        <f t="shared" si="33"/>
        <v/>
      </c>
      <c r="W92" s="18">
        <f t="shared" si="34"/>
        <v>4.4000000000000004</v>
      </c>
      <c r="X92" s="18">
        <f t="shared" si="35"/>
        <v>1.2</v>
      </c>
      <c r="Y92" s="18" t="str">
        <f t="shared" si="36"/>
        <v/>
      </c>
      <c r="Z92" s="18" t="str">
        <f t="shared" si="37"/>
        <v/>
      </c>
      <c r="AA92" s="20"/>
    </row>
    <row r="93" spans="1:27" s="8" customFormat="1">
      <c r="A93" s="14" t="s">
        <v>91</v>
      </c>
      <c r="B93" s="14" t="s">
        <v>28</v>
      </c>
      <c r="C93" s="14" t="s">
        <v>43</v>
      </c>
      <c r="D93" s="14" t="s">
        <v>23</v>
      </c>
      <c r="E93" s="1" t="s">
        <v>80</v>
      </c>
      <c r="L93" s="16">
        <f t="shared" si="23"/>
        <v>4.1448763552125403</v>
      </c>
      <c r="M93" s="16">
        <f t="shared" si="24"/>
        <v>0.75498344352707525</v>
      </c>
      <c r="N93" s="16">
        <f t="shared" si="25"/>
        <v>1.6431676725154989</v>
      </c>
      <c r="O93" s="17">
        <f t="shared" si="26"/>
        <v>2</v>
      </c>
      <c r="P93" s="16">
        <f t="shared" si="27"/>
        <v>4.1448763552125403</v>
      </c>
      <c r="Q93" s="16">
        <f t="shared" si="28"/>
        <v>0.75498344352707525</v>
      </c>
      <c r="R93" s="17">
        <f t="shared" si="29"/>
        <v>1.6431676725154989</v>
      </c>
      <c r="S93" s="16">
        <f t="shared" si="30"/>
        <v>2</v>
      </c>
      <c r="T93" s="17">
        <f t="shared" si="31"/>
        <v>1</v>
      </c>
      <c r="U93" s="18" t="str">
        <f t="shared" si="32"/>
        <v/>
      </c>
      <c r="V93" s="18" t="str">
        <f t="shared" si="33"/>
        <v/>
      </c>
      <c r="W93" s="18">
        <f t="shared" si="34"/>
        <v>4.5999999999999996</v>
      </c>
      <c r="X93" s="18">
        <f t="shared" si="35"/>
        <v>1.4</v>
      </c>
      <c r="Y93" s="18" t="str">
        <f t="shared" si="36"/>
        <v/>
      </c>
      <c r="Z93" s="18" t="str">
        <f t="shared" si="37"/>
        <v/>
      </c>
      <c r="AA93" s="20"/>
    </row>
    <row r="94" spans="1:27" s="8" customFormat="1">
      <c r="A94" s="14" t="s">
        <v>60</v>
      </c>
      <c r="B94" s="14" t="s">
        <v>97</v>
      </c>
      <c r="C94" s="14" t="s">
        <v>61</v>
      </c>
      <c r="D94" s="14" t="s">
        <v>62</v>
      </c>
      <c r="E94" s="1" t="s">
        <v>80</v>
      </c>
      <c r="L94" s="16">
        <f t="shared" si="23"/>
        <v>3.4684290392049251</v>
      </c>
      <c r="M94" s="16">
        <f t="shared" si="24"/>
        <v>1.3114877048603999</v>
      </c>
      <c r="N94" s="16">
        <f t="shared" si="25"/>
        <v>2.3811761799581319</v>
      </c>
      <c r="O94" s="17">
        <f t="shared" si="26"/>
        <v>2</v>
      </c>
      <c r="P94" s="16">
        <f t="shared" si="27"/>
        <v>3.4684290392049251</v>
      </c>
      <c r="Q94" s="16">
        <f t="shared" si="28"/>
        <v>1.3114877048603999</v>
      </c>
      <c r="R94" s="17">
        <f t="shared" si="29"/>
        <v>2.3811761799581319</v>
      </c>
      <c r="S94" s="16">
        <f t="shared" si="30"/>
        <v>2</v>
      </c>
      <c r="T94" s="17">
        <f t="shared" si="31"/>
        <v>1</v>
      </c>
      <c r="U94" s="18" t="str">
        <f t="shared" si="32"/>
        <v/>
      </c>
      <c r="V94" s="18" t="str">
        <f t="shared" si="33"/>
        <v/>
      </c>
      <c r="W94" s="18">
        <f t="shared" si="34"/>
        <v>4</v>
      </c>
      <c r="X94" s="18">
        <f t="shared" si="35"/>
        <v>1.2</v>
      </c>
      <c r="Y94" s="18" t="str">
        <f t="shared" si="36"/>
        <v/>
      </c>
      <c r="Z94" s="18" t="str">
        <f t="shared" si="37"/>
        <v/>
      </c>
      <c r="AA94" s="20"/>
    </row>
    <row r="95" spans="1:27" s="8" customFormat="1">
      <c r="A95" s="14" t="s">
        <v>46</v>
      </c>
      <c r="B95" s="14" t="s">
        <v>42</v>
      </c>
      <c r="C95" s="14" t="s">
        <v>68</v>
      </c>
      <c r="D95" s="14" t="s">
        <v>67</v>
      </c>
      <c r="E95" s="1" t="s">
        <v>80</v>
      </c>
      <c r="L95" s="16">
        <f t="shared" si="23"/>
        <v>2.5748786379167465</v>
      </c>
      <c r="M95" s="16">
        <f t="shared" si="24"/>
        <v>2.4289915602982237</v>
      </c>
      <c r="N95" s="16">
        <f t="shared" si="25"/>
        <v>3.4452866353904437</v>
      </c>
      <c r="O95" s="17">
        <f t="shared" si="26"/>
        <v>2</v>
      </c>
      <c r="P95" s="16">
        <f t="shared" si="27"/>
        <v>2.5748786379167465</v>
      </c>
      <c r="Q95" s="16">
        <f t="shared" si="28"/>
        <v>2.4289915602982237</v>
      </c>
      <c r="R95" s="17">
        <f t="shared" si="29"/>
        <v>3.4452866353904437</v>
      </c>
      <c r="S95" s="16">
        <f t="shared" si="30"/>
        <v>2</v>
      </c>
      <c r="T95" s="17">
        <f t="shared" si="31"/>
        <v>1</v>
      </c>
      <c r="U95" s="18" t="str">
        <f t="shared" si="32"/>
        <v/>
      </c>
      <c r="V95" s="18" t="str">
        <f t="shared" si="33"/>
        <v/>
      </c>
      <c r="W95" s="18">
        <f t="shared" si="34"/>
        <v>3.3</v>
      </c>
      <c r="X95" s="18">
        <f t="shared" si="35"/>
        <v>1</v>
      </c>
      <c r="Y95" s="18" t="str">
        <f t="shared" si="36"/>
        <v/>
      </c>
      <c r="Z95" s="18" t="str">
        <f t="shared" si="37"/>
        <v/>
      </c>
      <c r="AA95" s="20"/>
    </row>
    <row r="96" spans="1:27" s="8" customFormat="1">
      <c r="A96" s="14" t="s">
        <v>92</v>
      </c>
      <c r="B96" s="14" t="s">
        <v>86</v>
      </c>
      <c r="C96" s="14" t="s">
        <v>75</v>
      </c>
      <c r="D96" s="14" t="s">
        <v>38</v>
      </c>
      <c r="E96" s="1" t="s">
        <v>80</v>
      </c>
      <c r="L96" s="16">
        <f t="shared" si="23"/>
        <v>3.5818989377144632</v>
      </c>
      <c r="M96" s="16">
        <f t="shared" si="24"/>
        <v>1.3490737563232043</v>
      </c>
      <c r="N96" s="16">
        <f t="shared" si="25"/>
        <v>2.2781571499789037</v>
      </c>
      <c r="O96" s="17">
        <f t="shared" si="26"/>
        <v>2</v>
      </c>
      <c r="P96" s="16">
        <f t="shared" si="27"/>
        <v>3.5818989377144632</v>
      </c>
      <c r="Q96" s="16">
        <f t="shared" si="28"/>
        <v>1.3490737563232043</v>
      </c>
      <c r="R96" s="17">
        <f t="shared" si="29"/>
        <v>2.2781571499789037</v>
      </c>
      <c r="S96" s="16">
        <f t="shared" si="30"/>
        <v>2</v>
      </c>
      <c r="T96" s="17">
        <f t="shared" si="31"/>
        <v>1</v>
      </c>
      <c r="U96" s="18" t="str">
        <f t="shared" si="32"/>
        <v/>
      </c>
      <c r="V96" s="18" t="str">
        <f t="shared" si="33"/>
        <v/>
      </c>
      <c r="W96" s="18">
        <f t="shared" si="34"/>
        <v>4.2</v>
      </c>
      <c r="X96" s="18">
        <f t="shared" si="35"/>
        <v>1.3</v>
      </c>
      <c r="Y96" s="18" t="str">
        <f t="shared" si="36"/>
        <v/>
      </c>
      <c r="Z96" s="18" t="str">
        <f t="shared" si="37"/>
        <v/>
      </c>
      <c r="AA96" s="20"/>
    </row>
    <row r="97" spans="1:27" s="8" customFormat="1">
      <c r="A97" s="14" t="s">
        <v>41</v>
      </c>
      <c r="B97" s="14" t="s">
        <v>28</v>
      </c>
      <c r="C97" s="14" t="s">
        <v>75</v>
      </c>
      <c r="D97" s="14" t="s">
        <v>62</v>
      </c>
      <c r="E97" s="1" t="s">
        <v>80</v>
      </c>
      <c r="L97" s="16">
        <f t="shared" si="23"/>
        <v>3.5749125863438955</v>
      </c>
      <c r="M97" s="16">
        <f t="shared" si="24"/>
        <v>1.2845232578665124</v>
      </c>
      <c r="N97" s="16">
        <f t="shared" si="25"/>
        <v>2.2226110770892871</v>
      </c>
      <c r="O97" s="17">
        <f t="shared" si="26"/>
        <v>2</v>
      </c>
      <c r="P97" s="16">
        <f t="shared" si="27"/>
        <v>3.5749125863438955</v>
      </c>
      <c r="Q97" s="16">
        <f t="shared" si="28"/>
        <v>1.2845232578665124</v>
      </c>
      <c r="R97" s="17">
        <f t="shared" si="29"/>
        <v>2.2226110770892871</v>
      </c>
      <c r="S97" s="16">
        <f t="shared" si="30"/>
        <v>2</v>
      </c>
      <c r="T97" s="17">
        <f t="shared" si="31"/>
        <v>1</v>
      </c>
      <c r="U97" s="18" t="str">
        <f t="shared" si="32"/>
        <v/>
      </c>
      <c r="V97" s="18" t="str">
        <f t="shared" si="33"/>
        <v/>
      </c>
      <c r="W97" s="18">
        <f t="shared" si="34"/>
        <v>4.2</v>
      </c>
      <c r="X97" s="18">
        <f t="shared" si="35"/>
        <v>1.2</v>
      </c>
      <c r="Y97" s="18" t="str">
        <f t="shared" si="36"/>
        <v/>
      </c>
      <c r="Z97" s="18" t="str">
        <f t="shared" si="37"/>
        <v/>
      </c>
      <c r="AA97" s="20"/>
    </row>
    <row r="98" spans="1:27" s="8" customFormat="1">
      <c r="A98" s="14" t="s">
        <v>41</v>
      </c>
      <c r="B98" s="14" t="s">
        <v>56</v>
      </c>
      <c r="C98" s="14" t="s">
        <v>75</v>
      </c>
      <c r="D98" s="14" t="s">
        <v>38</v>
      </c>
      <c r="E98" s="1" t="s">
        <v>80</v>
      </c>
      <c r="L98" s="16">
        <f t="shared" si="23"/>
        <v>3.6083237105337433</v>
      </c>
      <c r="M98" s="16">
        <f t="shared" si="24"/>
        <v>1.2609520212918488</v>
      </c>
      <c r="N98" s="16">
        <f t="shared" si="25"/>
        <v>2.1863211109075444</v>
      </c>
      <c r="O98" s="17">
        <f t="shared" si="26"/>
        <v>2</v>
      </c>
      <c r="P98" s="16">
        <f t="shared" si="27"/>
        <v>3.6083237105337433</v>
      </c>
      <c r="Q98" s="16">
        <f t="shared" si="28"/>
        <v>1.2609520212918488</v>
      </c>
      <c r="R98" s="17">
        <f t="shared" si="29"/>
        <v>2.1863211109075444</v>
      </c>
      <c r="S98" s="16">
        <f t="shared" si="30"/>
        <v>2</v>
      </c>
      <c r="T98" s="17">
        <f t="shared" si="31"/>
        <v>1</v>
      </c>
      <c r="U98" s="18" t="str">
        <f t="shared" si="32"/>
        <v/>
      </c>
      <c r="V98" s="18" t="str">
        <f t="shared" si="33"/>
        <v/>
      </c>
      <c r="W98" s="18">
        <f t="shared" si="34"/>
        <v>4.2</v>
      </c>
      <c r="X98" s="18">
        <f t="shared" si="35"/>
        <v>1.3</v>
      </c>
      <c r="Y98" s="18" t="str">
        <f t="shared" si="36"/>
        <v/>
      </c>
      <c r="Z98" s="18" t="str">
        <f t="shared" si="37"/>
        <v/>
      </c>
      <c r="AA98" s="20"/>
    </row>
    <row r="99" spans="1:27" s="8" customFormat="1">
      <c r="A99" s="14" t="s">
        <v>94</v>
      </c>
      <c r="B99" s="14" t="s">
        <v>56</v>
      </c>
      <c r="C99" s="14" t="s">
        <v>27</v>
      </c>
      <c r="D99" s="14" t="s">
        <v>38</v>
      </c>
      <c r="E99" s="1" t="s">
        <v>80</v>
      </c>
      <c r="L99" s="16">
        <f t="shared" si="23"/>
        <v>3.9115214431215892</v>
      </c>
      <c r="M99" s="16">
        <f t="shared" si="24"/>
        <v>0.79372539331937697</v>
      </c>
      <c r="N99" s="16">
        <f t="shared" si="25"/>
        <v>1.8814887722226781</v>
      </c>
      <c r="O99" s="17">
        <f t="shared" si="26"/>
        <v>2</v>
      </c>
      <c r="P99" s="16">
        <f t="shared" si="27"/>
        <v>3.9115214431215892</v>
      </c>
      <c r="Q99" s="16">
        <f t="shared" si="28"/>
        <v>0.79372539331937697</v>
      </c>
      <c r="R99" s="17">
        <f t="shared" si="29"/>
        <v>1.8814887722226781</v>
      </c>
      <c r="S99" s="16">
        <f t="shared" si="30"/>
        <v>2</v>
      </c>
      <c r="T99" s="17">
        <f t="shared" si="31"/>
        <v>1</v>
      </c>
      <c r="U99" s="18" t="str">
        <f t="shared" si="32"/>
        <v/>
      </c>
      <c r="V99" s="18" t="str">
        <f t="shared" si="33"/>
        <v/>
      </c>
      <c r="W99" s="18">
        <f t="shared" si="34"/>
        <v>4.3</v>
      </c>
      <c r="X99" s="18">
        <f t="shared" si="35"/>
        <v>1.3</v>
      </c>
      <c r="Y99" s="18" t="str">
        <f t="shared" si="36"/>
        <v/>
      </c>
      <c r="Z99" s="18" t="str">
        <f t="shared" si="37"/>
        <v/>
      </c>
      <c r="AA99" s="20"/>
    </row>
    <row r="100" spans="1:27" s="8" customFormat="1">
      <c r="A100" s="14" t="s">
        <v>21</v>
      </c>
      <c r="B100" s="14" t="s">
        <v>95</v>
      </c>
      <c r="C100" s="14" t="s">
        <v>28</v>
      </c>
      <c r="D100" s="14" t="s">
        <v>29</v>
      </c>
      <c r="E100" s="1" t="s">
        <v>80</v>
      </c>
      <c r="L100" s="16">
        <f t="shared" si="23"/>
        <v>2.3452078799117149</v>
      </c>
      <c r="M100" s="16">
        <f t="shared" si="24"/>
        <v>2.5119713374160941</v>
      </c>
      <c r="N100" s="16">
        <f t="shared" si="25"/>
        <v>3.5298725189445586</v>
      </c>
      <c r="O100" s="17">
        <f t="shared" si="26"/>
        <v>1</v>
      </c>
      <c r="P100" s="16">
        <f t="shared" si="27"/>
        <v>2.3452078799117149</v>
      </c>
      <c r="Q100" s="16">
        <f t="shared" si="28"/>
        <v>2.5119713374160941</v>
      </c>
      <c r="R100" s="17">
        <f t="shared" si="29"/>
        <v>3.5298725189445586</v>
      </c>
      <c r="S100" s="16">
        <f t="shared" si="30"/>
        <v>1</v>
      </c>
      <c r="T100" s="17">
        <f t="shared" si="31"/>
        <v>1</v>
      </c>
      <c r="U100" s="18">
        <f t="shared" si="32"/>
        <v>3</v>
      </c>
      <c r="V100" s="18">
        <f t="shared" si="33"/>
        <v>1.1000000000000001</v>
      </c>
      <c r="W100" s="18" t="str">
        <f t="shared" si="34"/>
        <v/>
      </c>
      <c r="X100" s="18" t="str">
        <f t="shared" si="35"/>
        <v/>
      </c>
      <c r="Y100" s="18" t="str">
        <f t="shared" si="36"/>
        <v/>
      </c>
      <c r="Z100" s="18" t="str">
        <f t="shared" si="37"/>
        <v/>
      </c>
      <c r="AA100" s="20"/>
    </row>
    <row r="101" spans="1:27" s="8" customFormat="1">
      <c r="A101" s="14" t="s">
        <v>41</v>
      </c>
      <c r="B101" s="14" t="s">
        <v>34</v>
      </c>
      <c r="C101" s="14" t="s">
        <v>73</v>
      </c>
      <c r="D101" s="14" t="s">
        <v>38</v>
      </c>
      <c r="E101" s="1" t="s">
        <v>80</v>
      </c>
      <c r="L101" s="16">
        <f t="shared" si="23"/>
        <v>3.5270384177096794</v>
      </c>
      <c r="M101" s="16">
        <f t="shared" si="24"/>
        <v>1.3076696830622019</v>
      </c>
      <c r="N101" s="16">
        <f t="shared" si="25"/>
        <v>2.2715633383201097</v>
      </c>
      <c r="O101" s="17">
        <f t="shared" si="26"/>
        <v>2</v>
      </c>
      <c r="P101" s="16">
        <f t="shared" si="27"/>
        <v>3.5270384177096794</v>
      </c>
      <c r="Q101" s="16">
        <f t="shared" si="28"/>
        <v>1.3076696830622019</v>
      </c>
      <c r="R101" s="17">
        <f t="shared" si="29"/>
        <v>2.2715633383201097</v>
      </c>
      <c r="S101" s="16">
        <f t="shared" si="30"/>
        <v>2</v>
      </c>
      <c r="T101" s="17">
        <f t="shared" si="31"/>
        <v>1</v>
      </c>
      <c r="U101" s="18" t="str">
        <f t="shared" si="32"/>
        <v/>
      </c>
      <c r="V101" s="18" t="str">
        <f t="shared" si="33"/>
        <v/>
      </c>
      <c r="W101" s="18">
        <f t="shared" si="34"/>
        <v>4.0999999999999996</v>
      </c>
      <c r="X101" s="18">
        <f t="shared" si="35"/>
        <v>1.3</v>
      </c>
      <c r="Y101" s="18" t="str">
        <f t="shared" si="36"/>
        <v/>
      </c>
      <c r="Z101" s="18" t="str">
        <f t="shared" si="37"/>
        <v/>
      </c>
      <c r="AA101" s="20"/>
    </row>
    <row r="102" spans="1:27" s="8" customFormat="1">
      <c r="A102" s="14" t="s">
        <v>83</v>
      </c>
      <c r="B102" s="14" t="s">
        <v>68</v>
      </c>
      <c r="C102" s="14" t="s">
        <v>89</v>
      </c>
      <c r="D102" s="14" t="s">
        <v>95</v>
      </c>
      <c r="E102" s="1" t="s">
        <v>98</v>
      </c>
      <c r="L102" s="16">
        <f t="shared" si="23"/>
        <v>5.8189346103904631</v>
      </c>
      <c r="M102" s="16">
        <f t="shared" si="24"/>
        <v>1.7748239349298849</v>
      </c>
      <c r="N102" s="16">
        <f t="shared" si="25"/>
        <v>0.70710678118654791</v>
      </c>
      <c r="O102" s="17">
        <f t="shared" si="26"/>
        <v>3</v>
      </c>
      <c r="P102" s="16">
        <f t="shared" si="27"/>
        <v>5.8189346103904631</v>
      </c>
      <c r="Q102" s="16">
        <f t="shared" si="28"/>
        <v>1.7748239349298849</v>
      </c>
      <c r="R102" s="17">
        <f t="shared" si="29"/>
        <v>0.70710678118654791</v>
      </c>
      <c r="S102" s="16">
        <f t="shared" si="30"/>
        <v>3</v>
      </c>
      <c r="T102" s="17">
        <f t="shared" si="31"/>
        <v>1</v>
      </c>
      <c r="U102" s="18" t="str">
        <f t="shared" si="32"/>
        <v/>
      </c>
      <c r="V102" s="18" t="str">
        <f t="shared" si="33"/>
        <v/>
      </c>
      <c r="W102" s="18" t="str">
        <f t="shared" si="34"/>
        <v/>
      </c>
      <c r="X102" s="18" t="str">
        <f t="shared" si="35"/>
        <v/>
      </c>
      <c r="Y102" s="18">
        <f t="shared" si="36"/>
        <v>6</v>
      </c>
      <c r="Z102" s="18">
        <f t="shared" si="37"/>
        <v>2.5</v>
      </c>
      <c r="AA102" s="20"/>
    </row>
    <row r="103" spans="1:27" s="8" customFormat="1">
      <c r="A103" s="14" t="s">
        <v>60</v>
      </c>
      <c r="B103" s="14" t="s">
        <v>86</v>
      </c>
      <c r="C103" s="14" t="s">
        <v>21</v>
      </c>
      <c r="D103" s="14" t="s">
        <v>70</v>
      </c>
      <c r="E103" s="1" t="s">
        <v>98</v>
      </c>
      <c r="L103" s="16">
        <f t="shared" si="23"/>
        <v>4.6454278597347729</v>
      </c>
      <c r="M103" s="16">
        <f t="shared" si="24"/>
        <v>1.1618950038622251</v>
      </c>
      <c r="N103" s="16">
        <f t="shared" si="25"/>
        <v>1.4071247279470294</v>
      </c>
      <c r="O103" s="17">
        <f t="shared" si="26"/>
        <v>2</v>
      </c>
      <c r="P103" s="16">
        <f t="shared" si="27"/>
        <v>4.6454278597347729</v>
      </c>
      <c r="Q103" s="16">
        <f t="shared" si="28"/>
        <v>1.1618950038622251</v>
      </c>
      <c r="R103" s="17">
        <f t="shared" si="29"/>
        <v>1.4071247279470294</v>
      </c>
      <c r="S103" s="16">
        <f t="shared" si="30"/>
        <v>2</v>
      </c>
      <c r="T103" s="17">
        <f t="shared" si="31"/>
        <v>1</v>
      </c>
      <c r="U103" s="18" t="str">
        <f t="shared" si="32"/>
        <v/>
      </c>
      <c r="V103" s="18" t="str">
        <f t="shared" si="33"/>
        <v/>
      </c>
      <c r="W103" s="18">
        <f t="shared" si="34"/>
        <v>5.0999999999999996</v>
      </c>
      <c r="X103" s="18">
        <f t="shared" si="35"/>
        <v>1.9</v>
      </c>
      <c r="Y103" s="18" t="str">
        <f t="shared" si="36"/>
        <v/>
      </c>
      <c r="Z103" s="18" t="str">
        <f t="shared" si="37"/>
        <v/>
      </c>
      <c r="AA103" s="20"/>
    </row>
    <row r="104" spans="1:27" s="8" customFormat="1">
      <c r="A104" s="14" t="s">
        <v>99</v>
      </c>
      <c r="B104" s="14" t="s">
        <v>28</v>
      </c>
      <c r="C104" s="14" t="s">
        <v>88</v>
      </c>
      <c r="D104" s="14" t="s">
        <v>100</v>
      </c>
      <c r="E104" s="1" t="s">
        <v>98</v>
      </c>
      <c r="L104" s="16">
        <f t="shared" si="23"/>
        <v>5.9059292240933612</v>
      </c>
      <c r="M104" s="16">
        <f t="shared" si="24"/>
        <v>1.3527749258468686</v>
      </c>
      <c r="N104" s="16">
        <f t="shared" si="25"/>
        <v>0.39999999999999969</v>
      </c>
      <c r="O104" s="17">
        <f t="shared" si="26"/>
        <v>3</v>
      </c>
      <c r="P104" s="16">
        <f t="shared" si="27"/>
        <v>5.9059292240933612</v>
      </c>
      <c r="Q104" s="16">
        <f t="shared" si="28"/>
        <v>1.3527749258468686</v>
      </c>
      <c r="R104" s="17">
        <f t="shared" si="29"/>
        <v>0.39999999999999969</v>
      </c>
      <c r="S104" s="16">
        <f t="shared" si="30"/>
        <v>3</v>
      </c>
      <c r="T104" s="17">
        <f t="shared" si="31"/>
        <v>1</v>
      </c>
      <c r="U104" s="18" t="str">
        <f t="shared" si="32"/>
        <v/>
      </c>
      <c r="V104" s="18" t="str">
        <f t="shared" si="33"/>
        <v/>
      </c>
      <c r="W104" s="18" t="str">
        <f t="shared" si="34"/>
        <v/>
      </c>
      <c r="X104" s="18" t="str">
        <f t="shared" si="35"/>
        <v/>
      </c>
      <c r="Y104" s="18">
        <f t="shared" si="36"/>
        <v>5.9</v>
      </c>
      <c r="Z104" s="18">
        <f t="shared" si="37"/>
        <v>2.1</v>
      </c>
      <c r="AA104" s="20"/>
    </row>
    <row r="105" spans="1:27" s="8" customFormat="1">
      <c r="A105" s="14" t="s">
        <v>83</v>
      </c>
      <c r="B105" s="14" t="s">
        <v>56</v>
      </c>
      <c r="C105" s="14" t="s">
        <v>92</v>
      </c>
      <c r="D105" s="14" t="s">
        <v>96</v>
      </c>
      <c r="E105" s="1" t="s">
        <v>98</v>
      </c>
      <c r="L105" s="16">
        <f t="shared" si="23"/>
        <v>5.2105661880452105</v>
      </c>
      <c r="M105" s="16">
        <f t="shared" si="24"/>
        <v>1.0295630140987</v>
      </c>
      <c r="N105" s="16">
        <f t="shared" si="25"/>
        <v>0.84261497731763635</v>
      </c>
      <c r="O105" s="17">
        <f t="shared" si="26"/>
        <v>3</v>
      </c>
      <c r="P105" s="16">
        <f t="shared" si="27"/>
        <v>5.2105661880452105</v>
      </c>
      <c r="Q105" s="16">
        <f t="shared" si="28"/>
        <v>1.0295630140987</v>
      </c>
      <c r="R105" s="17">
        <f t="shared" si="29"/>
        <v>0.84261497731763635</v>
      </c>
      <c r="S105" s="16">
        <f t="shared" si="30"/>
        <v>3</v>
      </c>
      <c r="T105" s="17">
        <f t="shared" si="31"/>
        <v>1</v>
      </c>
      <c r="U105" s="18" t="str">
        <f t="shared" si="32"/>
        <v/>
      </c>
      <c r="V105" s="18" t="str">
        <f t="shared" si="33"/>
        <v/>
      </c>
      <c r="W105" s="18" t="str">
        <f t="shared" si="34"/>
        <v/>
      </c>
      <c r="X105" s="18" t="str">
        <f t="shared" si="35"/>
        <v/>
      </c>
      <c r="Y105" s="18">
        <f t="shared" si="36"/>
        <v>5.6</v>
      </c>
      <c r="Z105" s="18">
        <f t="shared" si="37"/>
        <v>1.8</v>
      </c>
      <c r="AA105" s="20"/>
    </row>
    <row r="106" spans="1:27" s="8" customFormat="1">
      <c r="A106" s="14" t="s">
        <v>82</v>
      </c>
      <c r="B106" s="14" t="s">
        <v>28</v>
      </c>
      <c r="C106" s="14" t="s">
        <v>60</v>
      </c>
      <c r="D106" s="14" t="s">
        <v>90</v>
      </c>
      <c r="E106" s="1" t="s">
        <v>98</v>
      </c>
      <c r="L106" s="16">
        <f t="shared" si="23"/>
        <v>5.5982140009113612</v>
      </c>
      <c r="M106" s="16">
        <f t="shared" si="24"/>
        <v>1.3304134695650072</v>
      </c>
      <c r="N106" s="16">
        <f t="shared" si="25"/>
        <v>0.46904157598234314</v>
      </c>
      <c r="O106" s="17">
        <f t="shared" si="26"/>
        <v>3</v>
      </c>
      <c r="P106" s="16">
        <f t="shared" si="27"/>
        <v>5.5982140009113612</v>
      </c>
      <c r="Q106" s="16">
        <f t="shared" si="28"/>
        <v>1.3304134695650072</v>
      </c>
      <c r="R106" s="17">
        <f t="shared" si="29"/>
        <v>0.46904157598234314</v>
      </c>
      <c r="S106" s="16">
        <f t="shared" si="30"/>
        <v>3</v>
      </c>
      <c r="T106" s="17">
        <f t="shared" si="31"/>
        <v>1</v>
      </c>
      <c r="U106" s="18" t="str">
        <f t="shared" si="32"/>
        <v/>
      </c>
      <c r="V106" s="18" t="str">
        <f t="shared" si="33"/>
        <v/>
      </c>
      <c r="W106" s="18" t="str">
        <f t="shared" si="34"/>
        <v/>
      </c>
      <c r="X106" s="18" t="str">
        <f t="shared" si="35"/>
        <v/>
      </c>
      <c r="Y106" s="18">
        <f t="shared" si="36"/>
        <v>5.8</v>
      </c>
      <c r="Z106" s="18">
        <f t="shared" si="37"/>
        <v>2.2000000000000002</v>
      </c>
      <c r="AA106" s="20"/>
    </row>
    <row r="107" spans="1:27" s="8" customFormat="1">
      <c r="A107" s="14" t="s">
        <v>101</v>
      </c>
      <c r="B107" s="14" t="s">
        <v>28</v>
      </c>
      <c r="C107" s="14" t="s">
        <v>85</v>
      </c>
      <c r="D107" s="14" t="s">
        <v>100</v>
      </c>
      <c r="E107" s="1" t="s">
        <v>98</v>
      </c>
      <c r="L107" s="16">
        <f t="shared" si="23"/>
        <v>6.7186308128963299</v>
      </c>
      <c r="M107" s="16">
        <f t="shared" si="24"/>
        <v>2.0999999999999996</v>
      </c>
      <c r="N107" s="16">
        <f t="shared" si="25"/>
        <v>1.1747340124470722</v>
      </c>
      <c r="O107" s="17">
        <f t="shared" si="26"/>
        <v>3</v>
      </c>
      <c r="P107" s="16">
        <f t="shared" si="27"/>
        <v>6.7186308128963299</v>
      </c>
      <c r="Q107" s="16">
        <f t="shared" si="28"/>
        <v>2.0999999999999996</v>
      </c>
      <c r="R107" s="17">
        <f t="shared" si="29"/>
        <v>1.1747340124470722</v>
      </c>
      <c r="S107" s="16">
        <f t="shared" si="30"/>
        <v>3</v>
      </c>
      <c r="T107" s="17">
        <f t="shared" si="31"/>
        <v>1</v>
      </c>
      <c r="U107" s="18" t="str">
        <f t="shared" si="32"/>
        <v/>
      </c>
      <c r="V107" s="18" t="str">
        <f t="shared" si="33"/>
        <v/>
      </c>
      <c r="W107" s="18" t="str">
        <f t="shared" si="34"/>
        <v/>
      </c>
      <c r="X107" s="18" t="str">
        <f t="shared" si="35"/>
        <v/>
      </c>
      <c r="Y107" s="18">
        <f t="shared" si="36"/>
        <v>6.6</v>
      </c>
      <c r="Z107" s="18">
        <f t="shared" si="37"/>
        <v>2.1</v>
      </c>
      <c r="AA107" s="20"/>
    </row>
    <row r="108" spans="1:27" s="8" customFormat="1">
      <c r="A108" s="14" t="s">
        <v>31</v>
      </c>
      <c r="B108" s="14" t="s">
        <v>95</v>
      </c>
      <c r="C108" s="14" t="s">
        <v>76</v>
      </c>
      <c r="D108" s="14" t="s">
        <v>51</v>
      </c>
      <c r="E108" s="1" t="s">
        <v>98</v>
      </c>
      <c r="L108" s="16">
        <f t="shared" si="23"/>
        <v>3.8379682124790979</v>
      </c>
      <c r="M108" s="16">
        <f t="shared" si="24"/>
        <v>1.9697715603592203</v>
      </c>
      <c r="N108" s="16">
        <f t="shared" si="25"/>
        <v>2.5079872407968904</v>
      </c>
      <c r="O108" s="17">
        <f t="shared" si="26"/>
        <v>2</v>
      </c>
      <c r="P108" s="16">
        <f t="shared" si="27"/>
        <v>3.8379682124790979</v>
      </c>
      <c r="Q108" s="16">
        <f t="shared" si="28"/>
        <v>1.9697715603592203</v>
      </c>
      <c r="R108" s="17">
        <f t="shared" si="29"/>
        <v>2.5079872407968904</v>
      </c>
      <c r="S108" s="16">
        <f t="shared" si="30"/>
        <v>2</v>
      </c>
      <c r="T108" s="17">
        <f t="shared" si="31"/>
        <v>1</v>
      </c>
      <c r="U108" s="18" t="str">
        <f t="shared" si="32"/>
        <v/>
      </c>
      <c r="V108" s="18" t="str">
        <f t="shared" si="33"/>
        <v/>
      </c>
      <c r="W108" s="18">
        <f t="shared" si="34"/>
        <v>4.5</v>
      </c>
      <c r="X108" s="18">
        <f t="shared" si="35"/>
        <v>1.7</v>
      </c>
      <c r="Y108" s="18" t="str">
        <f t="shared" si="36"/>
        <v/>
      </c>
      <c r="Z108" s="18" t="str">
        <f t="shared" si="37"/>
        <v/>
      </c>
      <c r="AA108" s="20"/>
    </row>
    <row r="109" spans="1:27" s="8" customFormat="1">
      <c r="A109" s="14" t="s">
        <v>102</v>
      </c>
      <c r="B109" s="14" t="s">
        <v>56</v>
      </c>
      <c r="C109" s="14" t="s">
        <v>83</v>
      </c>
      <c r="D109" s="14" t="s">
        <v>96</v>
      </c>
      <c r="E109" s="1" t="s">
        <v>98</v>
      </c>
      <c r="L109" s="16">
        <f t="shared" si="23"/>
        <v>6.240192304729077</v>
      </c>
      <c r="M109" s="16">
        <f t="shared" si="24"/>
        <v>1.6340134638368191</v>
      </c>
      <c r="N109" s="16">
        <f t="shared" si="25"/>
        <v>0.92736184954956991</v>
      </c>
      <c r="O109" s="17">
        <f t="shared" si="26"/>
        <v>3</v>
      </c>
      <c r="P109" s="16">
        <f t="shared" si="27"/>
        <v>6.240192304729077</v>
      </c>
      <c r="Q109" s="16">
        <f t="shared" si="28"/>
        <v>1.6340134638368191</v>
      </c>
      <c r="R109" s="17">
        <f t="shared" si="29"/>
        <v>0.92736184954956991</v>
      </c>
      <c r="S109" s="16">
        <f t="shared" si="30"/>
        <v>3</v>
      </c>
      <c r="T109" s="17">
        <f t="shared" si="31"/>
        <v>1</v>
      </c>
      <c r="U109" s="18" t="str">
        <f t="shared" si="32"/>
        <v/>
      </c>
      <c r="V109" s="18" t="str">
        <f t="shared" si="33"/>
        <v/>
      </c>
      <c r="W109" s="18" t="str">
        <f t="shared" si="34"/>
        <v/>
      </c>
      <c r="X109" s="18" t="str">
        <f t="shared" si="35"/>
        <v/>
      </c>
      <c r="Y109" s="18">
        <f t="shared" si="36"/>
        <v>6.3</v>
      </c>
      <c r="Z109" s="18">
        <f t="shared" si="37"/>
        <v>1.8</v>
      </c>
      <c r="AA109" s="20"/>
    </row>
    <row r="110" spans="1:27" s="8" customFormat="1">
      <c r="A110" s="14" t="s">
        <v>93</v>
      </c>
      <c r="B110" s="14" t="s">
        <v>95</v>
      </c>
      <c r="C110" s="14" t="s">
        <v>60</v>
      </c>
      <c r="D110" s="14" t="s">
        <v>96</v>
      </c>
      <c r="E110" s="1" t="s">
        <v>98</v>
      </c>
      <c r="L110" s="16">
        <f t="shared" si="23"/>
        <v>5.5668662638867117</v>
      </c>
      <c r="M110" s="16">
        <f t="shared" si="24"/>
        <v>1.1224972160321824</v>
      </c>
      <c r="N110" s="16">
        <f t="shared" si="25"/>
        <v>0.88881944173155891</v>
      </c>
      <c r="O110" s="17">
        <f t="shared" si="26"/>
        <v>3</v>
      </c>
      <c r="P110" s="16">
        <f t="shared" si="27"/>
        <v>5.5668662638867117</v>
      </c>
      <c r="Q110" s="16">
        <f t="shared" si="28"/>
        <v>1.1224972160321824</v>
      </c>
      <c r="R110" s="17">
        <f t="shared" si="29"/>
        <v>0.88881944173155891</v>
      </c>
      <c r="S110" s="16">
        <f t="shared" si="30"/>
        <v>3</v>
      </c>
      <c r="T110" s="17">
        <f t="shared" si="31"/>
        <v>1</v>
      </c>
      <c r="U110" s="18" t="str">
        <f t="shared" si="32"/>
        <v/>
      </c>
      <c r="V110" s="18" t="str">
        <f t="shared" si="33"/>
        <v/>
      </c>
      <c r="W110" s="18" t="str">
        <f t="shared" si="34"/>
        <v/>
      </c>
      <c r="X110" s="18" t="str">
        <f t="shared" si="35"/>
        <v/>
      </c>
      <c r="Y110" s="18">
        <f t="shared" si="36"/>
        <v>5.8</v>
      </c>
      <c r="Z110" s="18">
        <f t="shared" si="37"/>
        <v>1.8</v>
      </c>
      <c r="AA110" s="20"/>
    </row>
    <row r="111" spans="1:27" s="8" customFormat="1">
      <c r="A111" s="14" t="s">
        <v>103</v>
      </c>
      <c r="B111" s="14" t="s">
        <v>47</v>
      </c>
      <c r="C111" s="14" t="s">
        <v>91</v>
      </c>
      <c r="D111" s="14" t="s">
        <v>95</v>
      </c>
      <c r="E111" s="1" t="s">
        <v>98</v>
      </c>
      <c r="L111" s="16">
        <f t="shared" si="23"/>
        <v>6.2872887638472594</v>
      </c>
      <c r="M111" s="16">
        <f t="shared" si="24"/>
        <v>1.9235384061671346</v>
      </c>
      <c r="N111" s="16">
        <f t="shared" si="25"/>
        <v>0.67082039324993659</v>
      </c>
      <c r="O111" s="17">
        <f t="shared" si="26"/>
        <v>3</v>
      </c>
      <c r="P111" s="16">
        <f t="shared" si="27"/>
        <v>6.2872887638472594</v>
      </c>
      <c r="Q111" s="16">
        <f t="shared" si="28"/>
        <v>1.9235384061671346</v>
      </c>
      <c r="R111" s="17">
        <f t="shared" si="29"/>
        <v>0.67082039324993659</v>
      </c>
      <c r="S111" s="16">
        <f t="shared" si="30"/>
        <v>3</v>
      </c>
      <c r="T111" s="17">
        <f t="shared" si="31"/>
        <v>1</v>
      </c>
      <c r="U111" s="18" t="str">
        <f t="shared" si="32"/>
        <v/>
      </c>
      <c r="V111" s="18" t="str">
        <f t="shared" si="33"/>
        <v/>
      </c>
      <c r="W111" s="18" t="str">
        <f t="shared" si="34"/>
        <v/>
      </c>
      <c r="X111" s="18" t="str">
        <f t="shared" si="35"/>
        <v/>
      </c>
      <c r="Y111" s="18">
        <f t="shared" si="36"/>
        <v>6.1</v>
      </c>
      <c r="Z111" s="18">
        <f t="shared" si="37"/>
        <v>2.5</v>
      </c>
      <c r="AA111" s="20"/>
    </row>
    <row r="112" spans="1:27" s="8" customFormat="1">
      <c r="A112" s="14" t="s">
        <v>82</v>
      </c>
      <c r="B112" s="14" t="s">
        <v>37</v>
      </c>
      <c r="C112" s="14" t="s">
        <v>21</v>
      </c>
      <c r="D112" s="14" t="s">
        <v>87</v>
      </c>
      <c r="E112" s="1" t="s">
        <v>98</v>
      </c>
      <c r="L112" s="16">
        <f t="shared" si="23"/>
        <v>4.9487372126634481</v>
      </c>
      <c r="M112" s="16">
        <f t="shared" si="24"/>
        <v>0.83666002653407567</v>
      </c>
      <c r="N112" s="16">
        <f t="shared" si="25"/>
        <v>0.78102496759066597</v>
      </c>
      <c r="O112" s="17">
        <f t="shared" si="26"/>
        <v>3</v>
      </c>
      <c r="P112" s="16">
        <f t="shared" si="27"/>
        <v>4.9487372126634481</v>
      </c>
      <c r="Q112" s="16">
        <f t="shared" si="28"/>
        <v>0.83666002653407567</v>
      </c>
      <c r="R112" s="17">
        <f t="shared" si="29"/>
        <v>0.78102496759066597</v>
      </c>
      <c r="S112" s="16">
        <f t="shared" si="30"/>
        <v>3</v>
      </c>
      <c r="T112" s="17">
        <f t="shared" si="31"/>
        <v>1</v>
      </c>
      <c r="U112" s="18" t="str">
        <f t="shared" si="32"/>
        <v/>
      </c>
      <c r="V112" s="18" t="str">
        <f t="shared" si="33"/>
        <v/>
      </c>
      <c r="W112" s="18" t="str">
        <f t="shared" si="34"/>
        <v/>
      </c>
      <c r="X112" s="18" t="str">
        <f t="shared" si="35"/>
        <v/>
      </c>
      <c r="Y112" s="18">
        <f t="shared" si="36"/>
        <v>5.0999999999999996</v>
      </c>
      <c r="Z112" s="18">
        <f t="shared" si="37"/>
        <v>2</v>
      </c>
      <c r="AA112" s="20"/>
    </row>
    <row r="113" spans="1:27" s="8" customFormat="1">
      <c r="A113" s="14" t="s">
        <v>81</v>
      </c>
      <c r="B113" s="14" t="s">
        <v>86</v>
      </c>
      <c r="C113" s="14" t="s">
        <v>78</v>
      </c>
      <c r="D113" s="14" t="s">
        <v>70</v>
      </c>
      <c r="E113" s="1" t="s">
        <v>98</v>
      </c>
      <c r="L113" s="16">
        <f t="shared" si="23"/>
        <v>5.0378566871239991</v>
      </c>
      <c r="M113" s="16">
        <f t="shared" si="24"/>
        <v>0.81853527718724473</v>
      </c>
      <c r="N113" s="16">
        <f t="shared" si="25"/>
        <v>0.90553851381374173</v>
      </c>
      <c r="O113" s="17">
        <f t="shared" si="26"/>
        <v>2</v>
      </c>
      <c r="P113" s="16">
        <f t="shared" si="27"/>
        <v>5.0378566871239991</v>
      </c>
      <c r="Q113" s="16">
        <f t="shared" si="28"/>
        <v>0.81853527718724473</v>
      </c>
      <c r="R113" s="17">
        <f t="shared" si="29"/>
        <v>0.90553851381374173</v>
      </c>
      <c r="S113" s="16">
        <f t="shared" si="30"/>
        <v>2</v>
      </c>
      <c r="T113" s="17">
        <f t="shared" si="31"/>
        <v>1</v>
      </c>
      <c r="U113" s="18" t="str">
        <f t="shared" si="32"/>
        <v/>
      </c>
      <c r="V113" s="18" t="str">
        <f t="shared" si="33"/>
        <v/>
      </c>
      <c r="W113" s="18">
        <f t="shared" si="34"/>
        <v>5.3</v>
      </c>
      <c r="X113" s="18">
        <f t="shared" si="35"/>
        <v>1.9</v>
      </c>
      <c r="Y113" s="18" t="str">
        <f t="shared" si="36"/>
        <v/>
      </c>
      <c r="Z113" s="18" t="str">
        <f t="shared" si="37"/>
        <v/>
      </c>
      <c r="AA113" s="20"/>
    </row>
    <row r="114" spans="1:27" s="8" customFormat="1">
      <c r="A114" s="14" t="s">
        <v>33</v>
      </c>
      <c r="B114" s="14" t="s">
        <v>28</v>
      </c>
      <c r="C114" s="14" t="s">
        <v>74</v>
      </c>
      <c r="D114" s="14" t="s">
        <v>100</v>
      </c>
      <c r="E114" s="1" t="s">
        <v>98</v>
      </c>
      <c r="L114" s="16">
        <f t="shared" si="23"/>
        <v>5.4415071441651168</v>
      </c>
      <c r="M114" s="16">
        <f t="shared" si="24"/>
        <v>1.0099504938362081</v>
      </c>
      <c r="N114" s="16">
        <f t="shared" si="25"/>
        <v>0.36055512754639912</v>
      </c>
      <c r="O114" s="17">
        <f t="shared" si="26"/>
        <v>3</v>
      </c>
      <c r="P114" s="16">
        <f t="shared" si="27"/>
        <v>5.4415071441651168</v>
      </c>
      <c r="Q114" s="16">
        <f t="shared" si="28"/>
        <v>1.0099504938362081</v>
      </c>
      <c r="R114" s="17">
        <f t="shared" si="29"/>
        <v>0.36055512754639912</v>
      </c>
      <c r="S114" s="16">
        <f t="shared" si="30"/>
        <v>3</v>
      </c>
      <c r="T114" s="17">
        <f t="shared" si="31"/>
        <v>1</v>
      </c>
      <c r="U114" s="18" t="str">
        <f t="shared" si="32"/>
        <v/>
      </c>
      <c r="V114" s="18" t="str">
        <f t="shared" si="33"/>
        <v/>
      </c>
      <c r="W114" s="18" t="str">
        <f t="shared" si="34"/>
        <v/>
      </c>
      <c r="X114" s="18" t="str">
        <f t="shared" si="35"/>
        <v/>
      </c>
      <c r="Y114" s="18">
        <f t="shared" si="36"/>
        <v>5.5</v>
      </c>
      <c r="Z114" s="18">
        <f t="shared" si="37"/>
        <v>2.1</v>
      </c>
      <c r="AA114" s="20"/>
    </row>
    <row r="115" spans="1:27" s="8" customFormat="1">
      <c r="A115" s="14" t="s">
        <v>41</v>
      </c>
      <c r="B115" s="14" t="s">
        <v>95</v>
      </c>
      <c r="C115" s="14" t="s">
        <v>46</v>
      </c>
      <c r="D115" s="14" t="s">
        <v>87</v>
      </c>
      <c r="E115" s="1" t="s">
        <v>98</v>
      </c>
      <c r="L115" s="16">
        <f t="shared" si="23"/>
        <v>4.5858477951192409</v>
      </c>
      <c r="M115" s="16">
        <f t="shared" si="24"/>
        <v>1.3038404810405295</v>
      </c>
      <c r="N115" s="16">
        <f t="shared" si="25"/>
        <v>1.5842979517754863</v>
      </c>
      <c r="O115" s="17">
        <f t="shared" si="26"/>
        <v>2</v>
      </c>
      <c r="P115" s="16">
        <f t="shared" si="27"/>
        <v>4.5858477951192409</v>
      </c>
      <c r="Q115" s="16">
        <f t="shared" si="28"/>
        <v>1.3038404810405295</v>
      </c>
      <c r="R115" s="17">
        <f t="shared" si="29"/>
        <v>1.5842979517754863</v>
      </c>
      <c r="S115" s="16">
        <f t="shared" si="30"/>
        <v>2</v>
      </c>
      <c r="T115" s="17">
        <f t="shared" si="31"/>
        <v>1</v>
      </c>
      <c r="U115" s="18" t="str">
        <f t="shared" si="32"/>
        <v/>
      </c>
      <c r="V115" s="18" t="str">
        <f t="shared" si="33"/>
        <v/>
      </c>
      <c r="W115" s="18">
        <f t="shared" si="34"/>
        <v>5</v>
      </c>
      <c r="X115" s="18">
        <f t="shared" si="35"/>
        <v>2</v>
      </c>
      <c r="Y115" s="18" t="str">
        <f t="shared" si="36"/>
        <v/>
      </c>
      <c r="Z115" s="18" t="str">
        <f t="shared" si="37"/>
        <v/>
      </c>
      <c r="AA115" s="20"/>
    </row>
    <row r="116" spans="1:27" s="8" customFormat="1">
      <c r="A116" s="14" t="s">
        <v>60</v>
      </c>
      <c r="B116" s="14" t="s">
        <v>34</v>
      </c>
      <c r="C116" s="14" t="s">
        <v>21</v>
      </c>
      <c r="D116" s="14" t="s">
        <v>84</v>
      </c>
      <c r="E116" s="1" t="s">
        <v>98</v>
      </c>
      <c r="L116" s="16">
        <f t="shared" si="23"/>
        <v>4.8559242168715935</v>
      </c>
      <c r="M116" s="16">
        <f t="shared" si="24"/>
        <v>1.4456832294800961</v>
      </c>
      <c r="N116" s="16">
        <f t="shared" si="25"/>
        <v>1.3190905958272927</v>
      </c>
      <c r="O116" s="17">
        <f t="shared" si="26"/>
        <v>3</v>
      </c>
      <c r="P116" s="16">
        <f t="shared" si="27"/>
        <v>4.8559242168715935</v>
      </c>
      <c r="Q116" s="16">
        <f t="shared" si="28"/>
        <v>1.4456832294800961</v>
      </c>
      <c r="R116" s="17">
        <f t="shared" si="29"/>
        <v>1.3190905958272927</v>
      </c>
      <c r="S116" s="16">
        <f t="shared" si="30"/>
        <v>3</v>
      </c>
      <c r="T116" s="17">
        <f t="shared" si="31"/>
        <v>1</v>
      </c>
      <c r="U116" s="18" t="str">
        <f t="shared" si="32"/>
        <v/>
      </c>
      <c r="V116" s="18" t="str">
        <f t="shared" si="33"/>
        <v/>
      </c>
      <c r="W116" s="18" t="str">
        <f t="shared" si="34"/>
        <v/>
      </c>
      <c r="X116" s="18" t="str">
        <f t="shared" si="35"/>
        <v/>
      </c>
      <c r="Y116" s="18">
        <f t="shared" si="36"/>
        <v>5.0999999999999996</v>
      </c>
      <c r="Z116" s="18">
        <f t="shared" si="37"/>
        <v>2.4</v>
      </c>
      <c r="AA116" s="20"/>
    </row>
    <row r="117" spans="1:27" s="8" customFormat="1">
      <c r="A117" s="14" t="s">
        <v>81</v>
      </c>
      <c r="B117" s="14" t="s">
        <v>37</v>
      </c>
      <c r="C117" s="14" t="s">
        <v>78</v>
      </c>
      <c r="D117" s="14" t="s">
        <v>42</v>
      </c>
      <c r="E117" s="1" t="s">
        <v>98</v>
      </c>
      <c r="L117" s="16">
        <f t="shared" si="23"/>
        <v>5.1894122981316482</v>
      </c>
      <c r="M117" s="16">
        <f t="shared" si="24"/>
        <v>1.1747340124470729</v>
      </c>
      <c r="N117" s="16">
        <f t="shared" si="25"/>
        <v>0.64031242374328512</v>
      </c>
      <c r="O117" s="17">
        <f t="shared" si="26"/>
        <v>3</v>
      </c>
      <c r="P117" s="16">
        <f t="shared" si="27"/>
        <v>5.1894122981316482</v>
      </c>
      <c r="Q117" s="16">
        <f t="shared" si="28"/>
        <v>1.1747340124470729</v>
      </c>
      <c r="R117" s="17">
        <f t="shared" si="29"/>
        <v>0.64031242374328512</v>
      </c>
      <c r="S117" s="16">
        <f t="shared" si="30"/>
        <v>3</v>
      </c>
      <c r="T117" s="17">
        <f t="shared" si="31"/>
        <v>1</v>
      </c>
      <c r="U117" s="18" t="str">
        <f t="shared" si="32"/>
        <v/>
      </c>
      <c r="V117" s="18" t="str">
        <f t="shared" si="33"/>
        <v/>
      </c>
      <c r="W117" s="18" t="str">
        <f t="shared" si="34"/>
        <v/>
      </c>
      <c r="X117" s="18" t="str">
        <f t="shared" si="35"/>
        <v/>
      </c>
      <c r="Y117" s="18">
        <f t="shared" si="36"/>
        <v>5.3</v>
      </c>
      <c r="Z117" s="18">
        <f t="shared" si="37"/>
        <v>2.2999999999999998</v>
      </c>
      <c r="AA117" s="20"/>
    </row>
    <row r="118" spans="1:27" s="8" customFormat="1">
      <c r="A118" s="14" t="s">
        <v>82</v>
      </c>
      <c r="B118" s="14" t="s">
        <v>28</v>
      </c>
      <c r="C118" s="14" t="s">
        <v>74</v>
      </c>
      <c r="D118" s="14" t="s">
        <v>96</v>
      </c>
      <c r="E118" s="1" t="s">
        <v>98</v>
      </c>
      <c r="L118" s="16">
        <f t="shared" si="23"/>
        <v>5.2048054718692418</v>
      </c>
      <c r="M118" s="16">
        <f t="shared" si="24"/>
        <v>0.88317608663278491</v>
      </c>
      <c r="N118" s="16">
        <f t="shared" si="25"/>
        <v>0.70000000000000018</v>
      </c>
      <c r="O118" s="17">
        <f t="shared" si="26"/>
        <v>3</v>
      </c>
      <c r="P118" s="16">
        <f t="shared" si="27"/>
        <v>5.2048054718692418</v>
      </c>
      <c r="Q118" s="16">
        <f t="shared" si="28"/>
        <v>0.88317608663278491</v>
      </c>
      <c r="R118" s="17">
        <f t="shared" si="29"/>
        <v>0.70000000000000018</v>
      </c>
      <c r="S118" s="16">
        <f t="shared" si="30"/>
        <v>3</v>
      </c>
      <c r="T118" s="17">
        <f t="shared" si="31"/>
        <v>1</v>
      </c>
      <c r="U118" s="18" t="str">
        <f t="shared" si="32"/>
        <v/>
      </c>
      <c r="V118" s="18" t="str">
        <f t="shared" si="33"/>
        <v/>
      </c>
      <c r="W118" s="18" t="str">
        <f t="shared" si="34"/>
        <v/>
      </c>
      <c r="X118" s="18" t="str">
        <f t="shared" si="35"/>
        <v/>
      </c>
      <c r="Y118" s="18">
        <f t="shared" si="36"/>
        <v>5.5</v>
      </c>
      <c r="Z118" s="18">
        <f t="shared" si="37"/>
        <v>1.8</v>
      </c>
      <c r="AA118" s="20"/>
    </row>
    <row r="119" spans="1:27" s="8" customFormat="1">
      <c r="A119" s="14" t="s">
        <v>104</v>
      </c>
      <c r="B119" s="14" t="s">
        <v>65</v>
      </c>
      <c r="C119" s="14" t="s">
        <v>93</v>
      </c>
      <c r="D119" s="14" t="s">
        <v>90</v>
      </c>
      <c r="E119" s="1" t="s">
        <v>98</v>
      </c>
      <c r="L119" s="16">
        <f t="shared" si="23"/>
        <v>6.9260378283691173</v>
      </c>
      <c r="M119" s="16">
        <f t="shared" si="24"/>
        <v>2.4617067250182347</v>
      </c>
      <c r="N119" s="16">
        <f t="shared" si="25"/>
        <v>1.4177446878757822</v>
      </c>
      <c r="O119" s="17">
        <f t="shared" si="26"/>
        <v>3</v>
      </c>
      <c r="P119" s="16">
        <f t="shared" si="27"/>
        <v>6.9260378283691173</v>
      </c>
      <c r="Q119" s="16">
        <f t="shared" si="28"/>
        <v>2.4617067250182347</v>
      </c>
      <c r="R119" s="17">
        <f t="shared" si="29"/>
        <v>1.4177446878757822</v>
      </c>
      <c r="S119" s="16">
        <f t="shared" si="30"/>
        <v>3</v>
      </c>
      <c r="T119" s="17">
        <f t="shared" si="31"/>
        <v>1</v>
      </c>
      <c r="U119" s="18" t="str">
        <f t="shared" si="32"/>
        <v/>
      </c>
      <c r="V119" s="18" t="str">
        <f t="shared" si="33"/>
        <v/>
      </c>
      <c r="W119" s="18" t="str">
        <f t="shared" si="34"/>
        <v/>
      </c>
      <c r="X119" s="18" t="str">
        <f t="shared" si="35"/>
        <v/>
      </c>
      <c r="Y119" s="18">
        <f t="shared" si="36"/>
        <v>6.7</v>
      </c>
      <c r="Z119" s="18">
        <f t="shared" si="37"/>
        <v>2.2000000000000002</v>
      </c>
      <c r="AA119" s="20"/>
    </row>
    <row r="120" spans="1:27" s="8" customFormat="1">
      <c r="A120" s="14" t="s">
        <v>104</v>
      </c>
      <c r="B120" s="14" t="s">
        <v>97</v>
      </c>
      <c r="C120" s="14" t="s">
        <v>40</v>
      </c>
      <c r="D120" s="14" t="s">
        <v>42</v>
      </c>
      <c r="E120" s="1" t="s">
        <v>98</v>
      </c>
      <c r="L120" s="16">
        <f t="shared" si="23"/>
        <v>7.0851958335673411</v>
      </c>
      <c r="M120" s="16">
        <f t="shared" si="24"/>
        <v>2.4637369989509841</v>
      </c>
      <c r="N120" s="16">
        <f t="shared" si="25"/>
        <v>1.5620499351813311</v>
      </c>
      <c r="O120" s="17">
        <f t="shared" si="26"/>
        <v>3</v>
      </c>
      <c r="P120" s="16">
        <f t="shared" si="27"/>
        <v>7.0851958335673411</v>
      </c>
      <c r="Q120" s="16">
        <f t="shared" si="28"/>
        <v>2.4637369989509841</v>
      </c>
      <c r="R120" s="17">
        <f t="shared" si="29"/>
        <v>1.5620499351813311</v>
      </c>
      <c r="S120" s="16">
        <f t="shared" si="30"/>
        <v>3</v>
      </c>
      <c r="T120" s="17">
        <f t="shared" si="31"/>
        <v>1</v>
      </c>
      <c r="U120" s="18" t="str">
        <f t="shared" si="32"/>
        <v/>
      </c>
      <c r="V120" s="18" t="str">
        <f t="shared" si="33"/>
        <v/>
      </c>
      <c r="W120" s="18" t="str">
        <f t="shared" si="34"/>
        <v/>
      </c>
      <c r="X120" s="18" t="str">
        <f t="shared" si="35"/>
        <v/>
      </c>
      <c r="Y120" s="18">
        <f t="shared" si="36"/>
        <v>6.9</v>
      </c>
      <c r="Z120" s="18">
        <f t="shared" si="37"/>
        <v>2.2999999999999998</v>
      </c>
      <c r="AA120" s="20"/>
    </row>
    <row r="121" spans="1:27" s="8" customFormat="1">
      <c r="A121" s="14" t="s">
        <v>89</v>
      </c>
      <c r="B121" s="14" t="s">
        <v>90</v>
      </c>
      <c r="C121" s="14" t="s">
        <v>46</v>
      </c>
      <c r="D121" s="14" t="s">
        <v>45</v>
      </c>
      <c r="E121" s="1" t="s">
        <v>98</v>
      </c>
      <c r="L121" s="16">
        <f t="shared" si="23"/>
        <v>4.5497252664309302</v>
      </c>
      <c r="M121" s="16">
        <f t="shared" si="24"/>
        <v>1.0246950765959595</v>
      </c>
      <c r="N121" s="16">
        <f t="shared" si="25"/>
        <v>1.7146428199482249</v>
      </c>
      <c r="O121" s="17">
        <f t="shared" si="26"/>
        <v>2</v>
      </c>
      <c r="P121" s="16">
        <f t="shared" si="27"/>
        <v>4.5497252664309302</v>
      </c>
      <c r="Q121" s="16">
        <f t="shared" si="28"/>
        <v>1.0246950765959595</v>
      </c>
      <c r="R121" s="17">
        <f t="shared" si="29"/>
        <v>1.7146428199482249</v>
      </c>
      <c r="S121" s="16">
        <f t="shared" si="30"/>
        <v>2</v>
      </c>
      <c r="T121" s="17">
        <f t="shared" si="31"/>
        <v>1</v>
      </c>
      <c r="U121" s="18" t="str">
        <f t="shared" si="32"/>
        <v/>
      </c>
      <c r="V121" s="18" t="str">
        <f t="shared" si="33"/>
        <v/>
      </c>
      <c r="W121" s="18">
        <f t="shared" si="34"/>
        <v>5</v>
      </c>
      <c r="X121" s="18">
        <f t="shared" si="35"/>
        <v>1.5</v>
      </c>
      <c r="Y121" s="18" t="str">
        <f t="shared" si="36"/>
        <v/>
      </c>
      <c r="Z121" s="18" t="str">
        <f t="shared" si="37"/>
        <v/>
      </c>
      <c r="AA121" s="20"/>
    </row>
    <row r="122" spans="1:27" s="8" customFormat="1">
      <c r="A122" s="14" t="s">
        <v>40</v>
      </c>
      <c r="B122" s="14" t="s">
        <v>37</v>
      </c>
      <c r="C122" s="14" t="s">
        <v>41</v>
      </c>
      <c r="D122" s="14" t="s">
        <v>42</v>
      </c>
      <c r="E122" s="1" t="s">
        <v>98</v>
      </c>
      <c r="L122" s="16">
        <f t="shared" si="23"/>
        <v>5.727128425310541</v>
      </c>
      <c r="M122" s="16">
        <f t="shared" si="24"/>
        <v>1.3379088160259656</v>
      </c>
      <c r="N122" s="16">
        <f t="shared" si="25"/>
        <v>0</v>
      </c>
      <c r="O122" s="17">
        <f t="shared" si="26"/>
        <v>3</v>
      </c>
      <c r="P122" s="16">
        <f t="shared" si="27"/>
        <v>5.727128425310541</v>
      </c>
      <c r="Q122" s="16">
        <f t="shared" si="28"/>
        <v>1.3379088160259656</v>
      </c>
      <c r="R122" s="17">
        <f t="shared" si="29"/>
        <v>0</v>
      </c>
      <c r="S122" s="16">
        <f t="shared" si="30"/>
        <v>3</v>
      </c>
      <c r="T122" s="17">
        <f t="shared" si="31"/>
        <v>1</v>
      </c>
      <c r="U122" s="18" t="str">
        <f t="shared" si="32"/>
        <v/>
      </c>
      <c r="V122" s="18" t="str">
        <f t="shared" si="33"/>
        <v/>
      </c>
      <c r="W122" s="18" t="str">
        <f t="shared" si="34"/>
        <v/>
      </c>
      <c r="X122" s="18" t="str">
        <f t="shared" si="35"/>
        <v/>
      </c>
      <c r="Y122" s="18">
        <f t="shared" si="36"/>
        <v>5.7</v>
      </c>
      <c r="Z122" s="18">
        <f t="shared" si="37"/>
        <v>2.2999999999999998</v>
      </c>
      <c r="AA122" s="20"/>
    </row>
    <row r="123" spans="1:27" s="8" customFormat="1">
      <c r="A123" s="14" t="s">
        <v>92</v>
      </c>
      <c r="B123" s="14" t="s">
        <v>34</v>
      </c>
      <c r="C123" s="14" t="s">
        <v>31</v>
      </c>
      <c r="D123" s="14" t="s">
        <v>87</v>
      </c>
      <c r="E123" s="1" t="s">
        <v>98</v>
      </c>
      <c r="L123" s="16">
        <f t="shared" si="23"/>
        <v>4.4474711915874172</v>
      </c>
      <c r="M123" s="16">
        <f t="shared" si="24"/>
        <v>1.3453624047073711</v>
      </c>
      <c r="N123" s="16">
        <f t="shared" si="25"/>
        <v>1.6062378404209017</v>
      </c>
      <c r="O123" s="17">
        <f t="shared" si="26"/>
        <v>2</v>
      </c>
      <c r="P123" s="16">
        <f t="shared" si="27"/>
        <v>4.4474711915874172</v>
      </c>
      <c r="Q123" s="16">
        <f t="shared" si="28"/>
        <v>1.3453624047073711</v>
      </c>
      <c r="R123" s="17">
        <f t="shared" si="29"/>
        <v>1.6062378404209017</v>
      </c>
      <c r="S123" s="16">
        <f t="shared" si="30"/>
        <v>2</v>
      </c>
      <c r="T123" s="17">
        <f t="shared" si="31"/>
        <v>1</v>
      </c>
      <c r="U123" s="18" t="str">
        <f t="shared" si="32"/>
        <v/>
      </c>
      <c r="V123" s="18" t="str">
        <f t="shared" si="33"/>
        <v/>
      </c>
      <c r="W123" s="18">
        <f t="shared" si="34"/>
        <v>4.9000000000000004</v>
      </c>
      <c r="X123" s="18">
        <f t="shared" si="35"/>
        <v>2</v>
      </c>
      <c r="Y123" s="18" t="str">
        <f t="shared" si="36"/>
        <v/>
      </c>
      <c r="Z123" s="18" t="str">
        <f t="shared" si="37"/>
        <v/>
      </c>
      <c r="AA123" s="20"/>
    </row>
    <row r="124" spans="1:27" s="8" customFormat="1">
      <c r="A124" s="14" t="s">
        <v>104</v>
      </c>
      <c r="B124" s="14" t="s">
        <v>34</v>
      </c>
      <c r="C124" s="14" t="s">
        <v>93</v>
      </c>
      <c r="D124" s="14" t="s">
        <v>87</v>
      </c>
      <c r="E124" s="1" t="s">
        <v>98</v>
      </c>
      <c r="L124" s="16">
        <f t="shared" si="23"/>
        <v>6.8242215673291264</v>
      </c>
      <c r="M124" s="16">
        <f t="shared" si="24"/>
        <v>2.1863211109075449</v>
      </c>
      <c r="N124" s="16">
        <f t="shared" si="25"/>
        <v>1.3747727084867518</v>
      </c>
      <c r="O124" s="17">
        <f t="shared" si="26"/>
        <v>3</v>
      </c>
      <c r="P124" s="16">
        <f t="shared" si="27"/>
        <v>6.8242215673291264</v>
      </c>
      <c r="Q124" s="16">
        <f t="shared" si="28"/>
        <v>2.1863211109075449</v>
      </c>
      <c r="R124" s="17">
        <f t="shared" si="29"/>
        <v>1.3747727084867518</v>
      </c>
      <c r="S124" s="16">
        <f t="shared" si="30"/>
        <v>3</v>
      </c>
      <c r="T124" s="17">
        <f t="shared" si="31"/>
        <v>1</v>
      </c>
      <c r="U124" s="18" t="str">
        <f t="shared" si="32"/>
        <v/>
      </c>
      <c r="V124" s="18" t="str">
        <f t="shared" si="33"/>
        <v/>
      </c>
      <c r="W124" s="18" t="str">
        <f t="shared" si="34"/>
        <v/>
      </c>
      <c r="X124" s="18" t="str">
        <f t="shared" si="35"/>
        <v/>
      </c>
      <c r="Y124" s="18">
        <f t="shared" si="36"/>
        <v>6.7</v>
      </c>
      <c r="Z124" s="18">
        <f t="shared" si="37"/>
        <v>2</v>
      </c>
      <c r="AA124" s="20"/>
    </row>
    <row r="125" spans="1:27" s="8" customFormat="1">
      <c r="A125" s="14" t="s">
        <v>83</v>
      </c>
      <c r="B125" s="14" t="s">
        <v>86</v>
      </c>
      <c r="C125" s="14" t="s">
        <v>31</v>
      </c>
      <c r="D125" s="14" t="s">
        <v>96</v>
      </c>
      <c r="E125" s="1" t="s">
        <v>98</v>
      </c>
      <c r="L125" s="16">
        <f t="shared" si="23"/>
        <v>4.6281745861624541</v>
      </c>
      <c r="M125" s="16">
        <f t="shared" si="24"/>
        <v>0.65574385243020017</v>
      </c>
      <c r="N125" s="16">
        <f t="shared" si="25"/>
        <v>1.2247448713915892</v>
      </c>
      <c r="O125" s="17">
        <f t="shared" si="26"/>
        <v>2</v>
      </c>
      <c r="P125" s="16">
        <f t="shared" si="27"/>
        <v>4.6281745861624541</v>
      </c>
      <c r="Q125" s="16">
        <f t="shared" si="28"/>
        <v>0.65574385243020017</v>
      </c>
      <c r="R125" s="17">
        <f t="shared" si="29"/>
        <v>1.2247448713915892</v>
      </c>
      <c r="S125" s="16">
        <f t="shared" si="30"/>
        <v>2</v>
      </c>
      <c r="T125" s="17">
        <f t="shared" si="31"/>
        <v>1</v>
      </c>
      <c r="U125" s="18" t="str">
        <f t="shared" si="32"/>
        <v/>
      </c>
      <c r="V125" s="18" t="str">
        <f t="shared" si="33"/>
        <v/>
      </c>
      <c r="W125" s="18">
        <f t="shared" si="34"/>
        <v>4.9000000000000004</v>
      </c>
      <c r="X125" s="18">
        <f t="shared" si="35"/>
        <v>1.8</v>
      </c>
      <c r="Y125" s="18" t="str">
        <f t="shared" si="36"/>
        <v/>
      </c>
      <c r="Z125" s="18" t="str">
        <f t="shared" si="37"/>
        <v/>
      </c>
      <c r="AA125" s="20"/>
    </row>
    <row r="126" spans="1:27" s="8" customFormat="1">
      <c r="A126" s="14" t="s">
        <v>93</v>
      </c>
      <c r="B126" s="14" t="s">
        <v>68</v>
      </c>
      <c r="C126" s="14" t="s">
        <v>41</v>
      </c>
      <c r="D126" s="14" t="s">
        <v>100</v>
      </c>
      <c r="E126" s="1" t="s">
        <v>98</v>
      </c>
      <c r="L126" s="16">
        <f t="shared" si="23"/>
        <v>5.5686623169303413</v>
      </c>
      <c r="M126" s="16">
        <f t="shared" si="24"/>
        <v>1.2489995996796799</v>
      </c>
      <c r="N126" s="16">
        <f t="shared" si="25"/>
        <v>0.29999999999999982</v>
      </c>
      <c r="O126" s="17">
        <f t="shared" si="26"/>
        <v>3</v>
      </c>
      <c r="P126" s="16">
        <f t="shared" si="27"/>
        <v>5.5686623169303413</v>
      </c>
      <c r="Q126" s="16">
        <f t="shared" si="28"/>
        <v>1.2489995996796799</v>
      </c>
      <c r="R126" s="17">
        <f t="shared" si="29"/>
        <v>0.29999999999999982</v>
      </c>
      <c r="S126" s="16">
        <f t="shared" si="30"/>
        <v>3</v>
      </c>
      <c r="T126" s="17">
        <f t="shared" si="31"/>
        <v>1</v>
      </c>
      <c r="U126" s="18" t="str">
        <f t="shared" si="32"/>
        <v/>
      </c>
      <c r="V126" s="18" t="str">
        <f t="shared" si="33"/>
        <v/>
      </c>
      <c r="W126" s="18" t="str">
        <f t="shared" si="34"/>
        <v/>
      </c>
      <c r="X126" s="18" t="str">
        <f t="shared" si="35"/>
        <v/>
      </c>
      <c r="Y126" s="18">
        <f t="shared" si="36"/>
        <v>5.7</v>
      </c>
      <c r="Z126" s="18">
        <f t="shared" si="37"/>
        <v>2.1</v>
      </c>
      <c r="AA126" s="20"/>
    </row>
    <row r="127" spans="1:27" s="8" customFormat="1">
      <c r="A127" s="14" t="s">
        <v>103</v>
      </c>
      <c r="B127" s="14" t="s">
        <v>37</v>
      </c>
      <c r="C127" s="14" t="s">
        <v>89</v>
      </c>
      <c r="D127" s="14" t="s">
        <v>96</v>
      </c>
      <c r="E127" s="1" t="s">
        <v>98</v>
      </c>
      <c r="L127" s="16">
        <f t="shared" si="23"/>
        <v>5.9455865984779006</v>
      </c>
      <c r="M127" s="16">
        <f t="shared" si="24"/>
        <v>1.3856406460551023</v>
      </c>
      <c r="N127" s="16">
        <f t="shared" si="25"/>
        <v>0.65574385243019973</v>
      </c>
      <c r="O127" s="17">
        <f t="shared" si="26"/>
        <v>3</v>
      </c>
      <c r="P127" s="16">
        <f t="shared" si="27"/>
        <v>5.9455865984779006</v>
      </c>
      <c r="Q127" s="16">
        <f t="shared" si="28"/>
        <v>1.3856406460551023</v>
      </c>
      <c r="R127" s="17">
        <f t="shared" si="29"/>
        <v>0.65574385243019973</v>
      </c>
      <c r="S127" s="16">
        <f t="shared" si="30"/>
        <v>3</v>
      </c>
      <c r="T127" s="17">
        <f t="shared" si="31"/>
        <v>1</v>
      </c>
      <c r="U127" s="18" t="str">
        <f t="shared" si="32"/>
        <v/>
      </c>
      <c r="V127" s="18" t="str">
        <f t="shared" si="33"/>
        <v/>
      </c>
      <c r="W127" s="18" t="str">
        <f t="shared" si="34"/>
        <v/>
      </c>
      <c r="X127" s="18" t="str">
        <f t="shared" si="35"/>
        <v/>
      </c>
      <c r="Y127" s="18">
        <f t="shared" si="36"/>
        <v>6</v>
      </c>
      <c r="Z127" s="18">
        <f t="shared" si="37"/>
        <v>1.8</v>
      </c>
      <c r="AA127" s="20"/>
    </row>
    <row r="128" spans="1:27" s="8" customFormat="1">
      <c r="A128" s="14" t="s">
        <v>94</v>
      </c>
      <c r="B128" s="14" t="s">
        <v>34</v>
      </c>
      <c r="C128" s="14" t="s">
        <v>35</v>
      </c>
      <c r="D128" s="14" t="s">
        <v>96</v>
      </c>
      <c r="E128" s="1" t="s">
        <v>98</v>
      </c>
      <c r="L128" s="16">
        <f t="shared" si="23"/>
        <v>4.4977772288098041</v>
      </c>
      <c r="M128" s="16">
        <f t="shared" si="24"/>
        <v>0.72111025509279769</v>
      </c>
      <c r="N128" s="16">
        <f t="shared" si="25"/>
        <v>1.3076696830622025</v>
      </c>
      <c r="O128" s="17">
        <f t="shared" si="26"/>
        <v>2</v>
      </c>
      <c r="P128" s="16">
        <f t="shared" si="27"/>
        <v>4.4977772288098041</v>
      </c>
      <c r="Q128" s="16">
        <f t="shared" si="28"/>
        <v>0.72111025509279769</v>
      </c>
      <c r="R128" s="17">
        <f t="shared" si="29"/>
        <v>1.3076696830622025</v>
      </c>
      <c r="S128" s="16">
        <f t="shared" si="30"/>
        <v>2</v>
      </c>
      <c r="T128" s="17">
        <f t="shared" si="31"/>
        <v>1</v>
      </c>
      <c r="U128" s="18" t="str">
        <f t="shared" si="32"/>
        <v/>
      </c>
      <c r="V128" s="18" t="str">
        <f t="shared" si="33"/>
        <v/>
      </c>
      <c r="W128" s="18">
        <f t="shared" si="34"/>
        <v>4.8</v>
      </c>
      <c r="X128" s="18">
        <f t="shared" si="35"/>
        <v>1.8</v>
      </c>
      <c r="Y128" s="18" t="str">
        <f t="shared" si="36"/>
        <v/>
      </c>
      <c r="Z128" s="18" t="str">
        <f t="shared" si="37"/>
        <v/>
      </c>
      <c r="AA128" s="20"/>
    </row>
    <row r="129" spans="1:27" s="8" customFormat="1">
      <c r="A129" s="14" t="s">
        <v>91</v>
      </c>
      <c r="B129" s="14" t="s">
        <v>28</v>
      </c>
      <c r="C129" s="14" t="s">
        <v>31</v>
      </c>
      <c r="D129" s="14" t="s">
        <v>96</v>
      </c>
      <c r="E129" s="1" t="s">
        <v>98</v>
      </c>
      <c r="L129" s="16">
        <f t="shared" si="23"/>
        <v>4.5354161881794264</v>
      </c>
      <c r="M129" s="16">
        <f t="shared" si="24"/>
        <v>0.8366600265340759</v>
      </c>
      <c r="N129" s="16">
        <f t="shared" si="25"/>
        <v>1.2529964086141669</v>
      </c>
      <c r="O129" s="17">
        <f t="shared" si="26"/>
        <v>2</v>
      </c>
      <c r="P129" s="16">
        <f t="shared" si="27"/>
        <v>4.5354161881794264</v>
      </c>
      <c r="Q129" s="16">
        <f t="shared" si="28"/>
        <v>0.8366600265340759</v>
      </c>
      <c r="R129" s="17">
        <f t="shared" si="29"/>
        <v>1.2529964086141669</v>
      </c>
      <c r="S129" s="16">
        <f t="shared" si="30"/>
        <v>2</v>
      </c>
      <c r="T129" s="17">
        <f t="shared" si="31"/>
        <v>1</v>
      </c>
      <c r="U129" s="18" t="str">
        <f t="shared" si="32"/>
        <v/>
      </c>
      <c r="V129" s="18" t="str">
        <f t="shared" si="33"/>
        <v/>
      </c>
      <c r="W129" s="18">
        <f t="shared" si="34"/>
        <v>4.9000000000000004</v>
      </c>
      <c r="X129" s="18">
        <f t="shared" si="35"/>
        <v>1.8</v>
      </c>
      <c r="Y129" s="18" t="str">
        <f t="shared" si="36"/>
        <v/>
      </c>
      <c r="Z129" s="18" t="str">
        <f t="shared" si="37"/>
        <v/>
      </c>
      <c r="AA129" s="20"/>
    </row>
    <row r="130" spans="1:27" s="8" customFormat="1">
      <c r="A130" s="14" t="s">
        <v>81</v>
      </c>
      <c r="B130" s="14" t="s">
        <v>34</v>
      </c>
      <c r="C130" s="14" t="s">
        <v>92</v>
      </c>
      <c r="D130" s="14" t="s">
        <v>100</v>
      </c>
      <c r="E130" s="1" t="s">
        <v>98</v>
      </c>
      <c r="L130" s="16">
        <f t="shared" si="23"/>
        <v>5.3572380943915494</v>
      </c>
      <c r="M130" s="16">
        <f t="shared" si="24"/>
        <v>1.1357816691600546</v>
      </c>
      <c r="N130" s="16">
        <f t="shared" si="25"/>
        <v>0.67823299831252704</v>
      </c>
      <c r="O130" s="17">
        <f t="shared" si="26"/>
        <v>3</v>
      </c>
      <c r="P130" s="16">
        <f t="shared" si="27"/>
        <v>5.3572380943915494</v>
      </c>
      <c r="Q130" s="16">
        <f t="shared" si="28"/>
        <v>1.1357816691600546</v>
      </c>
      <c r="R130" s="17">
        <f t="shared" si="29"/>
        <v>0.67823299831252704</v>
      </c>
      <c r="S130" s="16">
        <f t="shared" si="30"/>
        <v>3</v>
      </c>
      <c r="T130" s="17">
        <f t="shared" si="31"/>
        <v>1</v>
      </c>
      <c r="U130" s="18" t="str">
        <f t="shared" si="32"/>
        <v/>
      </c>
      <c r="V130" s="18" t="str">
        <f t="shared" si="33"/>
        <v/>
      </c>
      <c r="W130" s="18" t="str">
        <f t="shared" si="34"/>
        <v/>
      </c>
      <c r="X130" s="18" t="str">
        <f t="shared" si="35"/>
        <v/>
      </c>
      <c r="Y130" s="18">
        <f t="shared" si="36"/>
        <v>5.6</v>
      </c>
      <c r="Z130" s="18">
        <f t="shared" si="37"/>
        <v>2.1</v>
      </c>
      <c r="AA130" s="20"/>
    </row>
    <row r="131" spans="1:27" s="8" customFormat="1">
      <c r="A131" s="14" t="s">
        <v>103</v>
      </c>
      <c r="B131" s="14" t="s">
        <v>28</v>
      </c>
      <c r="C131" s="14" t="s">
        <v>60</v>
      </c>
      <c r="D131" s="14" t="s">
        <v>59</v>
      </c>
      <c r="E131" s="1" t="s">
        <v>98</v>
      </c>
      <c r="L131" s="16">
        <f t="shared" ref="L131:L151" si="38">SQRT(POWER(A131-$H$2,2) + POWER(B131-$I$2,2) + POWER(C131-$J$2,2) + POWER(D131-$K$2,2))</f>
        <v>5.7227615711297979</v>
      </c>
      <c r="M131" s="16">
        <f t="shared" ref="M131:M151" si="39">SQRT(POWER(A131-$H$3,2) + POWER(B131-$I$3,2) + POWER(C131-$J$3,2) + POWER(D131-$K$3,2))</f>
        <v>1.1135528725660047</v>
      </c>
      <c r="N131" s="16">
        <f t="shared" ref="N131:N151" si="40">SQRT(POWER(A131-$H$4,2) + POWER(B131-$I$4,2) + POWER(C131-$J$4,2) + POWER(D131-$K$4,2))</f>
        <v>0.79372539331937686</v>
      </c>
      <c r="O131" s="17">
        <f t="shared" ref="O131:O151" si="41">MATCH(MIN(L131:N131), L131:N131, 0)</f>
        <v>3</v>
      </c>
      <c r="P131" s="16">
        <f t="shared" ref="P131:P151" si="42">SQRT(POWER(A131-$H$12,2) + POWER(B131-$I$12,2) + POWER(C131-$J$12,2) + POWER(D131-$K$12,2))</f>
        <v>5.7227615711297979</v>
      </c>
      <c r="Q131" s="16">
        <f t="shared" ref="Q131:Q151" si="43">SQRT(POWER(A131-$H$13,2) + POWER(B131-$I$13,2) + POWER(C131-$J$13,2) + POWER(D131-$K$13,2))</f>
        <v>1.1135528725660047</v>
      </c>
      <c r="R131" s="17">
        <f t="shared" ref="R131:R151" si="44">SQRT(POWER(A131-$H$14,2) + POWER(B131-$I$14,2) + POWER(C131-$J$14,2) + POWER(D131-$K$14,2))</f>
        <v>0.79372539331937686</v>
      </c>
      <c r="S131" s="16">
        <f t="shared" ref="S131:S151" si="45">MATCH(MIN(P131:R131), P131:R131, 0)</f>
        <v>3</v>
      </c>
      <c r="T131" s="17">
        <f t="shared" ref="T131:T151" si="46">IF(O131=S131, 1, 0)</f>
        <v>1</v>
      </c>
      <c r="U131" s="18" t="str">
        <f t="shared" ref="U131:U151" si="47">IF($S131=1,$C131+0,"")</f>
        <v/>
      </c>
      <c r="V131" s="18" t="str">
        <f t="shared" ref="V131:V151" si="48">IF($S131=1,$D131+0,"")</f>
        <v/>
      </c>
      <c r="W131" s="18" t="str">
        <f t="shared" ref="W131:W151" si="49">IF($S131=2,$C131+0,"")</f>
        <v/>
      </c>
      <c r="X131" s="18" t="str">
        <f t="shared" ref="X131:X151" si="50">IF($S131=2,$D131+0,"")</f>
        <v/>
      </c>
      <c r="Y131" s="18">
        <f t="shared" ref="Y131:Y151" si="51">IF($S131=3,$C131+0,"")</f>
        <v>5.8</v>
      </c>
      <c r="Z131" s="18">
        <f t="shared" ref="Z131:Z151" si="52">IF($S131=3,$D131+0,"")</f>
        <v>1.6</v>
      </c>
      <c r="AA131" s="20"/>
    </row>
    <row r="132" spans="1:27" s="8" customFormat="1">
      <c r="A132" s="14" t="s">
        <v>105</v>
      </c>
      <c r="B132" s="14" t="s">
        <v>34</v>
      </c>
      <c r="C132" s="14" t="s">
        <v>91</v>
      </c>
      <c r="D132" s="14" t="s">
        <v>70</v>
      </c>
      <c r="E132" s="1" t="s">
        <v>98</v>
      </c>
      <c r="L132" s="16">
        <f t="shared" si="38"/>
        <v>6.1554853586049578</v>
      </c>
      <c r="M132" s="16">
        <f t="shared" si="39"/>
        <v>1.5165750888103102</v>
      </c>
      <c r="N132" s="16">
        <f t="shared" si="40"/>
        <v>0.85440037453175299</v>
      </c>
      <c r="O132" s="17">
        <f t="shared" si="41"/>
        <v>3</v>
      </c>
      <c r="P132" s="16">
        <f t="shared" si="42"/>
        <v>6.1554853586049578</v>
      </c>
      <c r="Q132" s="16">
        <f t="shared" si="43"/>
        <v>1.5165750888103102</v>
      </c>
      <c r="R132" s="17">
        <f t="shared" si="44"/>
        <v>0.85440037453175299</v>
      </c>
      <c r="S132" s="16">
        <f t="shared" si="45"/>
        <v>3</v>
      </c>
      <c r="T132" s="17">
        <f t="shared" si="46"/>
        <v>1</v>
      </c>
      <c r="U132" s="18" t="str">
        <f t="shared" si="47"/>
        <v/>
      </c>
      <c r="V132" s="18" t="str">
        <f t="shared" si="48"/>
        <v/>
      </c>
      <c r="W132" s="18" t="str">
        <f t="shared" si="49"/>
        <v/>
      </c>
      <c r="X132" s="18" t="str">
        <f t="shared" si="50"/>
        <v/>
      </c>
      <c r="Y132" s="18">
        <f t="shared" si="51"/>
        <v>6.1</v>
      </c>
      <c r="Z132" s="18">
        <f t="shared" si="52"/>
        <v>1.9</v>
      </c>
      <c r="AA132" s="20"/>
    </row>
    <row r="133" spans="1:27" s="8" customFormat="1">
      <c r="A133" s="14" t="s">
        <v>106</v>
      </c>
      <c r="B133" s="14" t="s">
        <v>65</v>
      </c>
      <c r="C133" s="14" t="s">
        <v>81</v>
      </c>
      <c r="D133" s="14" t="s">
        <v>87</v>
      </c>
      <c r="E133" s="1" t="s">
        <v>98</v>
      </c>
      <c r="L133" s="16">
        <f t="shared" si="38"/>
        <v>6.7305274681855369</v>
      </c>
      <c r="M133" s="16">
        <f t="shared" si="39"/>
        <v>2.2649503305812257</v>
      </c>
      <c r="N133" s="16">
        <f t="shared" si="40"/>
        <v>1.3928388277184118</v>
      </c>
      <c r="O133" s="17">
        <f t="shared" si="41"/>
        <v>3</v>
      </c>
      <c r="P133" s="16">
        <f t="shared" si="42"/>
        <v>6.7305274681855369</v>
      </c>
      <c r="Q133" s="16">
        <f t="shared" si="43"/>
        <v>2.2649503305812257</v>
      </c>
      <c r="R133" s="17">
        <f t="shared" si="44"/>
        <v>1.3928388277184118</v>
      </c>
      <c r="S133" s="16">
        <f t="shared" si="45"/>
        <v>3</v>
      </c>
      <c r="T133" s="17">
        <f t="shared" si="46"/>
        <v>1</v>
      </c>
      <c r="U133" s="18" t="str">
        <f t="shared" si="47"/>
        <v/>
      </c>
      <c r="V133" s="18" t="str">
        <f t="shared" si="48"/>
        <v/>
      </c>
      <c r="W133" s="18" t="str">
        <f t="shared" si="49"/>
        <v/>
      </c>
      <c r="X133" s="18" t="str">
        <f t="shared" si="50"/>
        <v/>
      </c>
      <c r="Y133" s="18">
        <f t="shared" si="51"/>
        <v>6.4</v>
      </c>
      <c r="Z133" s="18">
        <f t="shared" si="52"/>
        <v>2</v>
      </c>
      <c r="AA133" s="20"/>
    </row>
    <row r="134" spans="1:27" s="8" customFormat="1">
      <c r="A134" s="14" t="s">
        <v>81</v>
      </c>
      <c r="B134" s="14" t="s">
        <v>34</v>
      </c>
      <c r="C134" s="14" t="s">
        <v>92</v>
      </c>
      <c r="D134" s="14" t="s">
        <v>90</v>
      </c>
      <c r="E134" s="1" t="s">
        <v>98</v>
      </c>
      <c r="L134" s="16">
        <f t="shared" si="38"/>
        <v>5.3953683840864848</v>
      </c>
      <c r="M134" s="16">
        <f t="shared" si="39"/>
        <v>1.2</v>
      </c>
      <c r="N134" s="16">
        <f t="shared" si="40"/>
        <v>0.65574385243020028</v>
      </c>
      <c r="O134" s="17">
        <f t="shared" si="41"/>
        <v>3</v>
      </c>
      <c r="P134" s="16">
        <f t="shared" si="42"/>
        <v>5.3953683840864848</v>
      </c>
      <c r="Q134" s="16">
        <f t="shared" si="43"/>
        <v>1.2</v>
      </c>
      <c r="R134" s="17">
        <f t="shared" si="44"/>
        <v>0.65574385243020028</v>
      </c>
      <c r="S134" s="16">
        <f t="shared" si="45"/>
        <v>3</v>
      </c>
      <c r="T134" s="17">
        <f t="shared" si="46"/>
        <v>1</v>
      </c>
      <c r="U134" s="18" t="str">
        <f t="shared" si="47"/>
        <v/>
      </c>
      <c r="V134" s="18" t="str">
        <f t="shared" si="48"/>
        <v/>
      </c>
      <c r="W134" s="18" t="str">
        <f t="shared" si="49"/>
        <v/>
      </c>
      <c r="X134" s="18" t="str">
        <f t="shared" si="50"/>
        <v/>
      </c>
      <c r="Y134" s="18">
        <f t="shared" si="51"/>
        <v>5.6</v>
      </c>
      <c r="Z134" s="18">
        <f t="shared" si="52"/>
        <v>2.2000000000000002</v>
      </c>
      <c r="AA134" s="20"/>
    </row>
    <row r="135" spans="1:27" s="8" customFormat="1">
      <c r="A135" s="14" t="s">
        <v>83</v>
      </c>
      <c r="B135" s="14" t="s">
        <v>34</v>
      </c>
      <c r="C135" s="14" t="s">
        <v>21</v>
      </c>
      <c r="D135" s="14" t="s">
        <v>45</v>
      </c>
      <c r="E135" s="1" t="s">
        <v>98</v>
      </c>
      <c r="L135" s="16">
        <f t="shared" si="38"/>
        <v>4.6904157598234288</v>
      </c>
      <c r="M135" s="16">
        <f t="shared" si="39"/>
        <v>0.59160797830996159</v>
      </c>
      <c r="N135" s="16">
        <f t="shared" si="40"/>
        <v>1.2328828005937957</v>
      </c>
      <c r="O135" s="17">
        <f t="shared" si="41"/>
        <v>2</v>
      </c>
      <c r="P135" s="16">
        <f t="shared" si="42"/>
        <v>4.6904157598234288</v>
      </c>
      <c r="Q135" s="16">
        <f t="shared" si="43"/>
        <v>0.59160797830996159</v>
      </c>
      <c r="R135" s="17">
        <f t="shared" si="44"/>
        <v>1.2328828005937957</v>
      </c>
      <c r="S135" s="16">
        <f t="shared" si="45"/>
        <v>2</v>
      </c>
      <c r="T135" s="17">
        <f t="shared" si="46"/>
        <v>1</v>
      </c>
      <c r="U135" s="18" t="str">
        <f t="shared" si="47"/>
        <v/>
      </c>
      <c r="V135" s="18" t="str">
        <f t="shared" si="48"/>
        <v/>
      </c>
      <c r="W135" s="18">
        <f t="shared" si="49"/>
        <v>5.0999999999999996</v>
      </c>
      <c r="X135" s="18">
        <f t="shared" si="50"/>
        <v>1.5</v>
      </c>
      <c r="Y135" s="18" t="str">
        <f t="shared" si="51"/>
        <v/>
      </c>
      <c r="Z135" s="18" t="str">
        <f t="shared" si="52"/>
        <v/>
      </c>
      <c r="AA135" s="20"/>
    </row>
    <row r="136" spans="1:27" s="8" customFormat="1">
      <c r="A136" s="14" t="s">
        <v>91</v>
      </c>
      <c r="B136" s="14" t="s">
        <v>97</v>
      </c>
      <c r="C136" s="14" t="s">
        <v>92</v>
      </c>
      <c r="D136" s="14" t="s">
        <v>23</v>
      </c>
      <c r="E136" s="1" t="s">
        <v>98</v>
      </c>
      <c r="L136" s="16">
        <f t="shared" si="38"/>
        <v>5.0338851794612873</v>
      </c>
      <c r="M136" s="16">
        <f t="shared" si="39"/>
        <v>1.0816653826391966</v>
      </c>
      <c r="N136" s="16">
        <f t="shared" si="40"/>
        <v>1.3490737563232045</v>
      </c>
      <c r="O136" s="17">
        <f t="shared" si="41"/>
        <v>2</v>
      </c>
      <c r="P136" s="16">
        <f t="shared" si="42"/>
        <v>5.0338851794612873</v>
      </c>
      <c r="Q136" s="16">
        <f t="shared" si="43"/>
        <v>1.0816653826391966</v>
      </c>
      <c r="R136" s="17">
        <f t="shared" si="44"/>
        <v>1.3490737563232045</v>
      </c>
      <c r="S136" s="16">
        <f t="shared" si="45"/>
        <v>2</v>
      </c>
      <c r="T136" s="17">
        <f t="shared" si="46"/>
        <v>1</v>
      </c>
      <c r="U136" s="18" t="str">
        <f t="shared" si="47"/>
        <v/>
      </c>
      <c r="V136" s="18" t="str">
        <f t="shared" si="48"/>
        <v/>
      </c>
      <c r="W136" s="18">
        <f t="shared" si="49"/>
        <v>5.6</v>
      </c>
      <c r="X136" s="18">
        <f t="shared" si="50"/>
        <v>1.4</v>
      </c>
      <c r="Y136" s="18" t="str">
        <f t="shared" si="51"/>
        <v/>
      </c>
      <c r="Z136" s="18" t="str">
        <f t="shared" si="52"/>
        <v/>
      </c>
      <c r="AA136" s="20"/>
    </row>
    <row r="137" spans="1:27" s="8" customFormat="1">
      <c r="A137" s="14" t="s">
        <v>104</v>
      </c>
      <c r="B137" s="14" t="s">
        <v>28</v>
      </c>
      <c r="C137" s="14" t="s">
        <v>91</v>
      </c>
      <c r="D137" s="14" t="s">
        <v>42</v>
      </c>
      <c r="E137" s="1" t="s">
        <v>98</v>
      </c>
      <c r="L137" s="16">
        <f t="shared" si="38"/>
        <v>6.4342831768581652</v>
      </c>
      <c r="M137" s="16">
        <f t="shared" si="39"/>
        <v>1.8303005217723125</v>
      </c>
      <c r="N137" s="16">
        <f t="shared" si="40"/>
        <v>0.91651513899116765</v>
      </c>
      <c r="O137" s="17">
        <f t="shared" si="41"/>
        <v>3</v>
      </c>
      <c r="P137" s="16">
        <f t="shared" si="42"/>
        <v>6.4342831768581652</v>
      </c>
      <c r="Q137" s="16">
        <f t="shared" si="43"/>
        <v>1.8303005217723125</v>
      </c>
      <c r="R137" s="17">
        <f t="shared" si="44"/>
        <v>0.91651513899116765</v>
      </c>
      <c r="S137" s="16">
        <f t="shared" si="45"/>
        <v>3</v>
      </c>
      <c r="T137" s="17">
        <f t="shared" si="46"/>
        <v>1</v>
      </c>
      <c r="U137" s="18" t="str">
        <f t="shared" si="47"/>
        <v/>
      </c>
      <c r="V137" s="18" t="str">
        <f t="shared" si="48"/>
        <v/>
      </c>
      <c r="W137" s="18" t="str">
        <f t="shared" si="49"/>
        <v/>
      </c>
      <c r="X137" s="18" t="str">
        <f t="shared" si="50"/>
        <v/>
      </c>
      <c r="Y137" s="18">
        <f t="shared" si="51"/>
        <v>6.1</v>
      </c>
      <c r="Z137" s="18">
        <f t="shared" si="52"/>
        <v>2.2999999999999998</v>
      </c>
      <c r="AA137" s="20"/>
    </row>
    <row r="138" spans="1:27" s="8" customFormat="1">
      <c r="A138" s="14" t="s">
        <v>83</v>
      </c>
      <c r="B138" s="14" t="s">
        <v>53</v>
      </c>
      <c r="C138" s="14" t="s">
        <v>92</v>
      </c>
      <c r="D138" s="14" t="s">
        <v>84</v>
      </c>
      <c r="E138" s="1" t="s">
        <v>98</v>
      </c>
      <c r="L138" s="16">
        <f t="shared" si="38"/>
        <v>5.4497706373754848</v>
      </c>
      <c r="M138" s="16">
        <f t="shared" si="39"/>
        <v>1.5</v>
      </c>
      <c r="N138" s="16">
        <f t="shared" si="40"/>
        <v>0.64807406984078653</v>
      </c>
      <c r="O138" s="17">
        <f t="shared" si="41"/>
        <v>3</v>
      </c>
      <c r="P138" s="16">
        <f t="shared" si="42"/>
        <v>5.4497706373754848</v>
      </c>
      <c r="Q138" s="16">
        <f t="shared" si="43"/>
        <v>1.5</v>
      </c>
      <c r="R138" s="17">
        <f t="shared" si="44"/>
        <v>0.64807406984078653</v>
      </c>
      <c r="S138" s="16">
        <f t="shared" si="45"/>
        <v>3</v>
      </c>
      <c r="T138" s="17">
        <f t="shared" si="46"/>
        <v>1</v>
      </c>
      <c r="U138" s="18" t="str">
        <f t="shared" si="47"/>
        <v/>
      </c>
      <c r="V138" s="18" t="str">
        <f t="shared" si="48"/>
        <v/>
      </c>
      <c r="W138" s="18" t="str">
        <f t="shared" si="49"/>
        <v/>
      </c>
      <c r="X138" s="18" t="str">
        <f t="shared" si="50"/>
        <v/>
      </c>
      <c r="Y138" s="18">
        <f t="shared" si="51"/>
        <v>5.6</v>
      </c>
      <c r="Z138" s="18">
        <f t="shared" si="52"/>
        <v>2.4</v>
      </c>
      <c r="AA138" s="20"/>
    </row>
    <row r="139" spans="1:27" s="8" customFormat="1">
      <c r="A139" s="14" t="s">
        <v>81</v>
      </c>
      <c r="B139" s="14" t="s">
        <v>44</v>
      </c>
      <c r="C139" s="14" t="s">
        <v>74</v>
      </c>
      <c r="D139" s="14" t="s">
        <v>96</v>
      </c>
      <c r="E139" s="1" t="s">
        <v>98</v>
      </c>
      <c r="L139" s="16">
        <f t="shared" si="38"/>
        <v>5.1643005334701435</v>
      </c>
      <c r="M139" s="16">
        <f t="shared" si="39"/>
        <v>0.94868329805051388</v>
      </c>
      <c r="N139" s="16">
        <f t="shared" si="40"/>
        <v>0.74161984870956621</v>
      </c>
      <c r="O139" s="17">
        <f t="shared" si="41"/>
        <v>3</v>
      </c>
      <c r="P139" s="16">
        <f t="shared" si="42"/>
        <v>5.1643005334701435</v>
      </c>
      <c r="Q139" s="16">
        <f t="shared" si="43"/>
        <v>0.94868329805051388</v>
      </c>
      <c r="R139" s="17">
        <f t="shared" si="44"/>
        <v>0.74161984870956621</v>
      </c>
      <c r="S139" s="16">
        <f t="shared" si="45"/>
        <v>3</v>
      </c>
      <c r="T139" s="17">
        <f t="shared" si="46"/>
        <v>1</v>
      </c>
      <c r="U139" s="18" t="str">
        <f t="shared" si="47"/>
        <v/>
      </c>
      <c r="V139" s="18" t="str">
        <f t="shared" si="48"/>
        <v/>
      </c>
      <c r="W139" s="18" t="str">
        <f t="shared" si="49"/>
        <v/>
      </c>
      <c r="X139" s="18" t="str">
        <f t="shared" si="50"/>
        <v/>
      </c>
      <c r="Y139" s="18">
        <f t="shared" si="51"/>
        <v>5.5</v>
      </c>
      <c r="Z139" s="18">
        <f t="shared" si="52"/>
        <v>1.8</v>
      </c>
      <c r="AA139" s="20"/>
    </row>
    <row r="140" spans="1:27" s="8" customFormat="1">
      <c r="A140" s="14" t="s">
        <v>89</v>
      </c>
      <c r="B140" s="14" t="s">
        <v>28</v>
      </c>
      <c r="C140" s="14" t="s">
        <v>35</v>
      </c>
      <c r="D140" s="14" t="s">
        <v>96</v>
      </c>
      <c r="E140" s="1" t="s">
        <v>98</v>
      </c>
      <c r="L140" s="16">
        <f t="shared" si="38"/>
        <v>4.4124822945820412</v>
      </c>
      <c r="M140" s="16">
        <f t="shared" si="39"/>
        <v>0.91651513899116788</v>
      </c>
      <c r="N140" s="16">
        <f t="shared" si="40"/>
        <v>1.3820274961085257</v>
      </c>
      <c r="O140" s="17">
        <f t="shared" si="41"/>
        <v>2</v>
      </c>
      <c r="P140" s="16">
        <f t="shared" si="42"/>
        <v>4.4124822945820412</v>
      </c>
      <c r="Q140" s="16">
        <f t="shared" si="43"/>
        <v>0.91651513899116788</v>
      </c>
      <c r="R140" s="17">
        <f t="shared" si="44"/>
        <v>1.3820274961085257</v>
      </c>
      <c r="S140" s="16">
        <f t="shared" si="45"/>
        <v>2</v>
      </c>
      <c r="T140" s="17">
        <f t="shared" si="46"/>
        <v>1</v>
      </c>
      <c r="U140" s="18" t="str">
        <f t="shared" si="47"/>
        <v/>
      </c>
      <c r="V140" s="18" t="str">
        <f t="shared" si="48"/>
        <v/>
      </c>
      <c r="W140" s="18">
        <f t="shared" si="49"/>
        <v>4.8</v>
      </c>
      <c r="X140" s="18">
        <f t="shared" si="50"/>
        <v>1.8</v>
      </c>
      <c r="Y140" s="18" t="str">
        <f t="shared" si="51"/>
        <v/>
      </c>
      <c r="Z140" s="18" t="str">
        <f t="shared" si="52"/>
        <v/>
      </c>
      <c r="AA140" s="20"/>
    </row>
    <row r="141" spans="1:27" s="8" customFormat="1">
      <c r="A141" s="14" t="s">
        <v>40</v>
      </c>
      <c r="B141" s="14" t="s">
        <v>44</v>
      </c>
      <c r="C141" s="14" t="s">
        <v>49</v>
      </c>
      <c r="D141" s="14" t="s">
        <v>100</v>
      </c>
      <c r="E141" s="1" t="s">
        <v>98</v>
      </c>
      <c r="L141" s="16">
        <f t="shared" si="38"/>
        <v>5.4092513345194089</v>
      </c>
      <c r="M141" s="16">
        <f t="shared" si="39"/>
        <v>0.974679434480897</v>
      </c>
      <c r="N141" s="16">
        <f t="shared" si="40"/>
        <v>0.37416573867739389</v>
      </c>
      <c r="O141" s="17">
        <f t="shared" si="41"/>
        <v>3</v>
      </c>
      <c r="P141" s="16">
        <f t="shared" si="42"/>
        <v>5.4092513345194089</v>
      </c>
      <c r="Q141" s="16">
        <f t="shared" si="43"/>
        <v>0.974679434480897</v>
      </c>
      <c r="R141" s="17">
        <f t="shared" si="44"/>
        <v>0.37416573867739389</v>
      </c>
      <c r="S141" s="16">
        <f t="shared" si="45"/>
        <v>3</v>
      </c>
      <c r="T141" s="17">
        <f t="shared" si="46"/>
        <v>1</v>
      </c>
      <c r="U141" s="18" t="str">
        <f t="shared" si="47"/>
        <v/>
      </c>
      <c r="V141" s="18" t="str">
        <f t="shared" si="48"/>
        <v/>
      </c>
      <c r="W141" s="18" t="str">
        <f t="shared" si="49"/>
        <v/>
      </c>
      <c r="X141" s="18" t="str">
        <f t="shared" si="50"/>
        <v/>
      </c>
      <c r="Y141" s="18">
        <f t="shared" si="51"/>
        <v>5.4</v>
      </c>
      <c r="Z141" s="18">
        <f t="shared" si="52"/>
        <v>2.1</v>
      </c>
      <c r="AA141" s="20"/>
    </row>
    <row r="142" spans="1:27" s="8" customFormat="1">
      <c r="A142" s="14" t="s">
        <v>93</v>
      </c>
      <c r="B142" s="14" t="s">
        <v>44</v>
      </c>
      <c r="C142" s="14" t="s">
        <v>92</v>
      </c>
      <c r="D142" s="14" t="s">
        <v>84</v>
      </c>
      <c r="E142" s="1" t="s">
        <v>98</v>
      </c>
      <c r="L142" s="16">
        <f t="shared" si="38"/>
        <v>5.5955339334151128</v>
      </c>
      <c r="M142" s="16">
        <f t="shared" si="39"/>
        <v>1.3190905958272918</v>
      </c>
      <c r="N142" s="16">
        <f t="shared" si="40"/>
        <v>0.26457513110645947</v>
      </c>
      <c r="O142" s="17">
        <f t="shared" si="41"/>
        <v>3</v>
      </c>
      <c r="P142" s="16">
        <f t="shared" si="42"/>
        <v>5.5955339334151128</v>
      </c>
      <c r="Q142" s="16">
        <f t="shared" si="43"/>
        <v>1.3190905958272918</v>
      </c>
      <c r="R142" s="17">
        <f t="shared" si="44"/>
        <v>0.26457513110645947</v>
      </c>
      <c r="S142" s="16">
        <f t="shared" si="45"/>
        <v>3</v>
      </c>
      <c r="T142" s="17">
        <f t="shared" si="46"/>
        <v>1</v>
      </c>
      <c r="U142" s="18" t="str">
        <f t="shared" si="47"/>
        <v/>
      </c>
      <c r="V142" s="18" t="str">
        <f t="shared" si="48"/>
        <v/>
      </c>
      <c r="W142" s="18" t="str">
        <f t="shared" si="49"/>
        <v/>
      </c>
      <c r="X142" s="18" t="str">
        <f t="shared" si="50"/>
        <v/>
      </c>
      <c r="Y142" s="18">
        <f t="shared" si="51"/>
        <v>5.6</v>
      </c>
      <c r="Z142" s="18">
        <f t="shared" si="52"/>
        <v>2.4</v>
      </c>
      <c r="AA142" s="20"/>
    </row>
    <row r="143" spans="1:27" s="8" customFormat="1">
      <c r="A143" s="14" t="s">
        <v>40</v>
      </c>
      <c r="B143" s="14" t="s">
        <v>44</v>
      </c>
      <c r="C143" s="14" t="s">
        <v>21</v>
      </c>
      <c r="D143" s="14" t="s">
        <v>42</v>
      </c>
      <c r="E143" s="1" t="s">
        <v>98</v>
      </c>
      <c r="L143" s="16">
        <f t="shared" si="38"/>
        <v>5.2545218621678602</v>
      </c>
      <c r="M143" s="16">
        <f t="shared" si="39"/>
        <v>1</v>
      </c>
      <c r="N143" s="16">
        <f t="shared" si="40"/>
        <v>0.60827625302982247</v>
      </c>
      <c r="O143" s="17">
        <f t="shared" si="41"/>
        <v>3</v>
      </c>
      <c r="P143" s="16">
        <f t="shared" si="42"/>
        <v>5.2545218621678602</v>
      </c>
      <c r="Q143" s="16">
        <f t="shared" si="43"/>
        <v>1</v>
      </c>
      <c r="R143" s="17">
        <f t="shared" si="44"/>
        <v>0.60827625302982247</v>
      </c>
      <c r="S143" s="16">
        <f t="shared" si="45"/>
        <v>3</v>
      </c>
      <c r="T143" s="17">
        <f t="shared" si="46"/>
        <v>1</v>
      </c>
      <c r="U143" s="18" t="str">
        <f t="shared" si="47"/>
        <v/>
      </c>
      <c r="V143" s="18" t="str">
        <f t="shared" si="48"/>
        <v/>
      </c>
      <c r="W143" s="18" t="str">
        <f t="shared" si="49"/>
        <v/>
      </c>
      <c r="X143" s="18" t="str">
        <f t="shared" si="50"/>
        <v/>
      </c>
      <c r="Y143" s="18">
        <f t="shared" si="51"/>
        <v>5.0999999999999996</v>
      </c>
      <c r="Z143" s="18">
        <f t="shared" si="52"/>
        <v>2.2999999999999998</v>
      </c>
      <c r="AA143" s="20"/>
    </row>
    <row r="144" spans="1:27" s="8" customFormat="1">
      <c r="A144" s="14" t="s">
        <v>60</v>
      </c>
      <c r="B144" s="14" t="s">
        <v>86</v>
      </c>
      <c r="C144" s="14" t="s">
        <v>21</v>
      </c>
      <c r="D144" s="14" t="s">
        <v>70</v>
      </c>
      <c r="E144" s="1" t="s">
        <v>98</v>
      </c>
      <c r="L144" s="16">
        <f t="shared" si="38"/>
        <v>4.6454278597347729</v>
      </c>
      <c r="M144" s="16">
        <f t="shared" si="39"/>
        <v>1.1618950038622251</v>
      </c>
      <c r="N144" s="16">
        <f t="shared" si="40"/>
        <v>1.4071247279470294</v>
      </c>
      <c r="O144" s="17">
        <f t="shared" si="41"/>
        <v>2</v>
      </c>
      <c r="P144" s="16">
        <f t="shared" si="42"/>
        <v>4.6454278597347729</v>
      </c>
      <c r="Q144" s="16">
        <f t="shared" si="43"/>
        <v>1.1618950038622251</v>
      </c>
      <c r="R144" s="17">
        <f t="shared" si="44"/>
        <v>1.4071247279470294</v>
      </c>
      <c r="S144" s="16">
        <f t="shared" si="45"/>
        <v>2</v>
      </c>
      <c r="T144" s="17">
        <f t="shared" si="46"/>
        <v>1</v>
      </c>
      <c r="U144" s="18" t="str">
        <f t="shared" si="47"/>
        <v/>
      </c>
      <c r="V144" s="18" t="str">
        <f t="shared" si="48"/>
        <v/>
      </c>
      <c r="W144" s="18">
        <f t="shared" si="49"/>
        <v>5.0999999999999996</v>
      </c>
      <c r="X144" s="18">
        <f t="shared" si="50"/>
        <v>1.9</v>
      </c>
      <c r="Y144" s="18" t="str">
        <f t="shared" si="51"/>
        <v/>
      </c>
      <c r="Z144" s="18" t="str">
        <f t="shared" si="52"/>
        <v/>
      </c>
      <c r="AA144" s="20"/>
    </row>
    <row r="145" spans="1:27" s="8" customFormat="1">
      <c r="A145" s="14" t="s">
        <v>33</v>
      </c>
      <c r="B145" s="14" t="s">
        <v>37</v>
      </c>
      <c r="C145" s="14" t="s">
        <v>88</v>
      </c>
      <c r="D145" s="14" t="s">
        <v>42</v>
      </c>
      <c r="E145" s="1" t="s">
        <v>98</v>
      </c>
      <c r="L145" s="16">
        <f t="shared" si="38"/>
        <v>5.845511098270193</v>
      </c>
      <c r="M145" s="16">
        <f t="shared" si="39"/>
        <v>1.4764823060233405</v>
      </c>
      <c r="N145" s="16">
        <f t="shared" si="40"/>
        <v>0.22360679774997935</v>
      </c>
      <c r="O145" s="17">
        <f t="shared" si="41"/>
        <v>3</v>
      </c>
      <c r="P145" s="16">
        <f t="shared" si="42"/>
        <v>5.845511098270193</v>
      </c>
      <c r="Q145" s="16">
        <f t="shared" si="43"/>
        <v>1.4764823060233405</v>
      </c>
      <c r="R145" s="17">
        <f t="shared" si="44"/>
        <v>0.22360679774997935</v>
      </c>
      <c r="S145" s="16">
        <f t="shared" si="45"/>
        <v>3</v>
      </c>
      <c r="T145" s="17">
        <f t="shared" si="46"/>
        <v>1</v>
      </c>
      <c r="U145" s="18" t="str">
        <f t="shared" si="47"/>
        <v/>
      </c>
      <c r="V145" s="18" t="str">
        <f t="shared" si="48"/>
        <v/>
      </c>
      <c r="W145" s="18" t="str">
        <f t="shared" si="49"/>
        <v/>
      </c>
      <c r="X145" s="18" t="str">
        <f t="shared" si="50"/>
        <v/>
      </c>
      <c r="Y145" s="18">
        <f t="shared" si="51"/>
        <v>5.9</v>
      </c>
      <c r="Z145" s="18">
        <f t="shared" si="52"/>
        <v>2.2999999999999998</v>
      </c>
      <c r="AA145" s="20"/>
    </row>
    <row r="146" spans="1:27" s="8" customFormat="1">
      <c r="A146" s="14" t="s">
        <v>93</v>
      </c>
      <c r="B146" s="14" t="s">
        <v>68</v>
      </c>
      <c r="C146" s="14" t="s">
        <v>41</v>
      </c>
      <c r="D146" s="14" t="s">
        <v>95</v>
      </c>
      <c r="E146" s="1" t="s">
        <v>98</v>
      </c>
      <c r="L146" s="16">
        <f t="shared" si="38"/>
        <v>5.7245087125446839</v>
      </c>
      <c r="M146" s="16">
        <f t="shared" si="39"/>
        <v>1.5099668870541503</v>
      </c>
      <c r="N146" s="16">
        <f t="shared" si="40"/>
        <v>0.30000000000000016</v>
      </c>
      <c r="O146" s="17">
        <f t="shared" si="41"/>
        <v>3</v>
      </c>
      <c r="P146" s="16">
        <f t="shared" si="42"/>
        <v>5.7245087125446839</v>
      </c>
      <c r="Q146" s="16">
        <f t="shared" si="43"/>
        <v>1.5099668870541503</v>
      </c>
      <c r="R146" s="17">
        <f t="shared" si="44"/>
        <v>0.30000000000000016</v>
      </c>
      <c r="S146" s="16">
        <f t="shared" si="45"/>
        <v>3</v>
      </c>
      <c r="T146" s="17">
        <f t="shared" si="46"/>
        <v>1</v>
      </c>
      <c r="U146" s="18" t="str">
        <f t="shared" si="47"/>
        <v/>
      </c>
      <c r="V146" s="18" t="str">
        <f t="shared" si="48"/>
        <v/>
      </c>
      <c r="W146" s="18" t="str">
        <f t="shared" si="49"/>
        <v/>
      </c>
      <c r="X146" s="18" t="str">
        <f t="shared" si="50"/>
        <v/>
      </c>
      <c r="Y146" s="18">
        <f t="shared" si="51"/>
        <v>5.7</v>
      </c>
      <c r="Z146" s="18">
        <f t="shared" si="52"/>
        <v>2.5</v>
      </c>
      <c r="AA146" s="20"/>
    </row>
    <row r="147" spans="1:27" s="8" customFormat="1">
      <c r="A147" s="14" t="s">
        <v>93</v>
      </c>
      <c r="B147" s="14" t="s">
        <v>28</v>
      </c>
      <c r="C147" s="14" t="s">
        <v>72</v>
      </c>
      <c r="D147" s="14" t="s">
        <v>42</v>
      </c>
      <c r="E147" s="1" t="s">
        <v>98</v>
      </c>
      <c r="L147" s="16">
        <f t="shared" si="38"/>
        <v>5.23545604508337</v>
      </c>
      <c r="M147" s="16">
        <f t="shared" si="39"/>
        <v>1.0099504938362078</v>
      </c>
      <c r="N147" s="16">
        <f t="shared" si="40"/>
        <v>0.57445626465380295</v>
      </c>
      <c r="O147" s="17">
        <f t="shared" si="41"/>
        <v>3</v>
      </c>
      <c r="P147" s="16">
        <f t="shared" si="42"/>
        <v>5.23545604508337</v>
      </c>
      <c r="Q147" s="16">
        <f t="shared" si="43"/>
        <v>1.0099504938362078</v>
      </c>
      <c r="R147" s="17">
        <f t="shared" si="44"/>
        <v>0.57445626465380295</v>
      </c>
      <c r="S147" s="16">
        <f t="shared" si="45"/>
        <v>3</v>
      </c>
      <c r="T147" s="17">
        <f t="shared" si="46"/>
        <v>1</v>
      </c>
      <c r="U147" s="18" t="str">
        <f t="shared" si="47"/>
        <v/>
      </c>
      <c r="V147" s="18" t="str">
        <f t="shared" si="48"/>
        <v/>
      </c>
      <c r="W147" s="18" t="str">
        <f t="shared" si="49"/>
        <v/>
      </c>
      <c r="X147" s="18" t="str">
        <f t="shared" si="50"/>
        <v/>
      </c>
      <c r="Y147" s="18">
        <f t="shared" si="51"/>
        <v>5.2</v>
      </c>
      <c r="Z147" s="18">
        <f t="shared" si="52"/>
        <v>2.2999999999999998</v>
      </c>
      <c r="AA147" s="20"/>
    </row>
    <row r="148" spans="1:27" s="8" customFormat="1">
      <c r="A148" s="14" t="s">
        <v>83</v>
      </c>
      <c r="B148" s="14" t="s">
        <v>95</v>
      </c>
      <c r="C148" s="14" t="s">
        <v>46</v>
      </c>
      <c r="D148" s="14" t="s">
        <v>70</v>
      </c>
      <c r="E148" s="1" t="s">
        <v>98</v>
      </c>
      <c r="L148" s="16">
        <f t="shared" si="38"/>
        <v>4.7644516998286379</v>
      </c>
      <c r="M148" s="16">
        <f t="shared" si="39"/>
        <v>0.79372539331937719</v>
      </c>
      <c r="N148" s="16">
        <f t="shared" si="40"/>
        <v>1.2247448713915896</v>
      </c>
      <c r="O148" s="17">
        <f t="shared" si="41"/>
        <v>2</v>
      </c>
      <c r="P148" s="16">
        <f t="shared" si="42"/>
        <v>4.7644516998286379</v>
      </c>
      <c r="Q148" s="16">
        <f t="shared" si="43"/>
        <v>0.79372539331937719</v>
      </c>
      <c r="R148" s="17">
        <f t="shared" si="44"/>
        <v>1.2247448713915896</v>
      </c>
      <c r="S148" s="16">
        <f t="shared" si="45"/>
        <v>2</v>
      </c>
      <c r="T148" s="17">
        <f t="shared" si="46"/>
        <v>1</v>
      </c>
      <c r="U148" s="18" t="str">
        <f t="shared" si="47"/>
        <v/>
      </c>
      <c r="V148" s="18" t="str">
        <f t="shared" si="48"/>
        <v/>
      </c>
      <c r="W148" s="18">
        <f t="shared" si="49"/>
        <v>5</v>
      </c>
      <c r="X148" s="18">
        <f t="shared" si="50"/>
        <v>1.9</v>
      </c>
      <c r="Y148" s="18" t="str">
        <f t="shared" si="51"/>
        <v/>
      </c>
      <c r="Z148" s="18" t="str">
        <f t="shared" si="52"/>
        <v/>
      </c>
      <c r="AA148" s="20"/>
    </row>
    <row r="149" spans="1:27" s="8" customFormat="1">
      <c r="A149" s="14" t="s">
        <v>82</v>
      </c>
      <c r="B149" s="14" t="s">
        <v>28</v>
      </c>
      <c r="C149" s="14" t="s">
        <v>72</v>
      </c>
      <c r="D149" s="14" t="s">
        <v>87</v>
      </c>
      <c r="E149" s="1" t="s">
        <v>98</v>
      </c>
      <c r="L149" s="16">
        <f t="shared" si="38"/>
        <v>5.0259327492516253</v>
      </c>
      <c r="M149" s="16">
        <f t="shared" si="39"/>
        <v>0.80622577482985514</v>
      </c>
      <c r="N149" s="16">
        <f t="shared" si="40"/>
        <v>0.73484692283495356</v>
      </c>
      <c r="O149" s="17">
        <f t="shared" si="41"/>
        <v>3</v>
      </c>
      <c r="P149" s="16">
        <f t="shared" si="42"/>
        <v>5.0259327492516253</v>
      </c>
      <c r="Q149" s="16">
        <f t="shared" si="43"/>
        <v>0.80622577482985514</v>
      </c>
      <c r="R149" s="17">
        <f t="shared" si="44"/>
        <v>0.73484692283495356</v>
      </c>
      <c r="S149" s="16">
        <f t="shared" si="45"/>
        <v>3</v>
      </c>
      <c r="T149" s="17">
        <f t="shared" si="46"/>
        <v>1</v>
      </c>
      <c r="U149" s="18" t="str">
        <f t="shared" si="47"/>
        <v/>
      </c>
      <c r="V149" s="18" t="str">
        <f t="shared" si="48"/>
        <v/>
      </c>
      <c r="W149" s="18" t="str">
        <f t="shared" si="49"/>
        <v/>
      </c>
      <c r="X149" s="18" t="str">
        <f t="shared" si="50"/>
        <v/>
      </c>
      <c r="Y149" s="18">
        <f t="shared" si="51"/>
        <v>5.2</v>
      </c>
      <c r="Z149" s="18">
        <f t="shared" si="52"/>
        <v>2</v>
      </c>
      <c r="AA149" s="20"/>
    </row>
    <row r="150" spans="1:27" s="8" customFormat="1">
      <c r="A150" s="14" t="s">
        <v>94</v>
      </c>
      <c r="B150" s="14" t="s">
        <v>53</v>
      </c>
      <c r="C150" s="14" t="s">
        <v>49</v>
      </c>
      <c r="D150" s="14" t="s">
        <v>42</v>
      </c>
      <c r="E150" s="1" t="s">
        <v>98</v>
      </c>
      <c r="L150" s="16">
        <f t="shared" si="38"/>
        <v>5.2057660339281489</v>
      </c>
      <c r="M150" s="16">
        <f t="shared" si="39"/>
        <v>1.374772708486752</v>
      </c>
      <c r="N150" s="16">
        <f t="shared" si="40"/>
        <v>0.78740078740118113</v>
      </c>
      <c r="O150" s="17">
        <f t="shared" si="41"/>
        <v>3</v>
      </c>
      <c r="P150" s="16">
        <f t="shared" si="42"/>
        <v>5.2057660339281489</v>
      </c>
      <c r="Q150" s="16">
        <f t="shared" si="43"/>
        <v>1.374772708486752</v>
      </c>
      <c r="R150" s="17">
        <f t="shared" si="44"/>
        <v>0.78740078740118113</v>
      </c>
      <c r="S150" s="16">
        <f t="shared" si="45"/>
        <v>3</v>
      </c>
      <c r="T150" s="17">
        <f t="shared" si="46"/>
        <v>1</v>
      </c>
      <c r="U150" s="18" t="str">
        <f t="shared" si="47"/>
        <v/>
      </c>
      <c r="V150" s="18" t="str">
        <f t="shared" si="48"/>
        <v/>
      </c>
      <c r="W150" s="18" t="str">
        <f t="shared" si="49"/>
        <v/>
      </c>
      <c r="X150" s="18" t="str">
        <f t="shared" si="50"/>
        <v/>
      </c>
      <c r="Y150" s="18">
        <f t="shared" si="51"/>
        <v>5.4</v>
      </c>
      <c r="Z150" s="18">
        <f t="shared" si="52"/>
        <v>2.2999999999999998</v>
      </c>
      <c r="AA150" s="20"/>
    </row>
    <row r="151" spans="1:27" s="8" customFormat="1">
      <c r="A151" s="14" t="s">
        <v>88</v>
      </c>
      <c r="B151" s="14" t="s">
        <v>28</v>
      </c>
      <c r="C151" s="14" t="s">
        <v>21</v>
      </c>
      <c r="D151" s="14" t="s">
        <v>96</v>
      </c>
      <c r="E151" s="1" t="s">
        <v>98</v>
      </c>
      <c r="L151" s="16">
        <f t="shared" si="38"/>
        <v>4.6314144707637643</v>
      </c>
      <c r="M151" s="16">
        <f t="shared" si="39"/>
        <v>1.048808848170151</v>
      </c>
      <c r="N151" s="16">
        <f t="shared" si="40"/>
        <v>1.2845232578665131</v>
      </c>
      <c r="O151" s="17">
        <f t="shared" si="41"/>
        <v>2</v>
      </c>
      <c r="P151" s="16">
        <f t="shared" si="42"/>
        <v>4.6314144707637643</v>
      </c>
      <c r="Q151" s="16">
        <f t="shared" si="43"/>
        <v>1.048808848170151</v>
      </c>
      <c r="R151" s="17">
        <f t="shared" si="44"/>
        <v>1.2845232578665131</v>
      </c>
      <c r="S151" s="16">
        <f t="shared" si="45"/>
        <v>2</v>
      </c>
      <c r="T151" s="17">
        <f t="shared" si="46"/>
        <v>1</v>
      </c>
      <c r="U151" s="18" t="str">
        <f t="shared" si="47"/>
        <v/>
      </c>
      <c r="V151" s="18" t="str">
        <f t="shared" si="48"/>
        <v/>
      </c>
      <c r="W151" s="18">
        <f t="shared" si="49"/>
        <v>5.0999999999999996</v>
      </c>
      <c r="X151" s="18">
        <f t="shared" si="50"/>
        <v>1.8</v>
      </c>
      <c r="Y151" s="18" t="str">
        <f t="shared" si="51"/>
        <v/>
      </c>
      <c r="Z151" s="18" t="str">
        <f t="shared" si="52"/>
        <v/>
      </c>
      <c r="AA151" s="20"/>
    </row>
  </sheetData>
  <mergeCells count="1">
    <mergeCell ref="G23:H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5" workbookViewId="0">
      <selection activeCell="A65" sqref="A65:B65"/>
    </sheetView>
  </sheetViews>
  <sheetFormatPr defaultColWidth="9.125" defaultRowHeight="15"/>
  <cols>
    <col min="1" max="1" width="20.75" style="23" customWidth="1"/>
    <col min="2" max="2" width="22" style="23" customWidth="1"/>
    <col min="3" max="4" width="20.75" style="23" customWidth="1"/>
    <col min="5" max="16384" width="9.125" style="23"/>
  </cols>
  <sheetData>
    <row r="1" spans="1:2">
      <c r="A1" s="24" t="s">
        <v>107</v>
      </c>
    </row>
    <row r="3" spans="1:2">
      <c r="A3" s="23" t="s">
        <v>108</v>
      </c>
    </row>
    <row r="5" spans="1:2">
      <c r="A5" s="23" t="s">
        <v>109</v>
      </c>
    </row>
    <row r="7" spans="1:2">
      <c r="A7" s="23" t="s">
        <v>110</v>
      </c>
    </row>
    <row r="9" spans="1:2">
      <c r="A9" s="23" t="s">
        <v>111</v>
      </c>
    </row>
    <row r="11" spans="1:2">
      <c r="A11" s="24" t="s">
        <v>112</v>
      </c>
    </row>
    <row r="13" spans="1:2">
      <c r="A13" s="23" t="s">
        <v>113</v>
      </c>
    </row>
    <row r="15" spans="1:2">
      <c r="A15" s="25" t="s">
        <v>114</v>
      </c>
      <c r="B15" s="25" t="s">
        <v>115</v>
      </c>
    </row>
    <row r="16" spans="1:2">
      <c r="A16" s="25" t="s">
        <v>26</v>
      </c>
      <c r="B16" s="26">
        <f>COUNTIF('Data &amp; K-means'!S2:S151,1)</f>
        <v>51</v>
      </c>
    </row>
    <row r="17" spans="1:4">
      <c r="A17" s="25" t="s">
        <v>32</v>
      </c>
      <c r="B17" s="26">
        <f>COUNTIF('Data &amp; K-means'!S2:S151,2)</f>
        <v>64</v>
      </c>
    </row>
    <row r="18" spans="1:4">
      <c r="A18" s="25" t="s">
        <v>39</v>
      </c>
      <c r="B18" s="26">
        <f>COUNTIF('Data &amp; K-means'!S2:S151,3)</f>
        <v>35</v>
      </c>
    </row>
    <row r="19" spans="1:4">
      <c r="A19" s="25" t="s">
        <v>71</v>
      </c>
      <c r="B19" s="26">
        <f>SUM(B16:B18)</f>
        <v>150</v>
      </c>
    </row>
    <row r="21" spans="1:4">
      <c r="A21" s="24" t="s">
        <v>116</v>
      </c>
    </row>
    <row r="23" spans="1:4">
      <c r="A23" s="23" t="s">
        <v>117</v>
      </c>
    </row>
    <row r="25" spans="1:4">
      <c r="A25" s="27" t="s">
        <v>118</v>
      </c>
      <c r="B25" s="27" t="s">
        <v>119</v>
      </c>
      <c r="C25" s="27" t="s">
        <v>120</v>
      </c>
      <c r="D25" s="27" t="s">
        <v>121</v>
      </c>
    </row>
    <row r="26" spans="1:4">
      <c r="A26" s="27" t="s">
        <v>122</v>
      </c>
      <c r="B26" s="9">
        <f>COUNTIFS('Data &amp; K-means'!E:E,"Iris-setosa",'Data &amp; K-means'!S:S,1)</f>
        <v>50</v>
      </c>
      <c r="C26" s="9">
        <f>COUNTIFS('Data &amp; K-means'!E:E,"Iris-setosa",'Data &amp; K-means'!S:S,2)</f>
        <v>0</v>
      </c>
      <c r="D26" s="9">
        <f>COUNTIFS('Data &amp; K-means'!E:E,"Iris-setosa",'Data &amp; K-means'!S:S,3)</f>
        <v>0</v>
      </c>
    </row>
    <row r="27" spans="1:4">
      <c r="A27" s="27" t="s">
        <v>123</v>
      </c>
      <c r="B27" s="9">
        <f>COUNTIFS('Data &amp; K-means'!E:E,"Iris-versicolor",'Data &amp; K-means'!S:S,1)</f>
        <v>1</v>
      </c>
      <c r="C27" s="9">
        <f>COUNTIFS('Data &amp; K-means'!E:E,"Iris-versicolor",'Data &amp; K-means'!S:S,2)</f>
        <v>49</v>
      </c>
      <c r="D27" s="9">
        <f>COUNTIFS('Data &amp; K-means'!E:E,"Iris-versicolor",'Data &amp; K-means'!S:S,3)</f>
        <v>0</v>
      </c>
    </row>
    <row r="28" spans="1:4">
      <c r="A28" s="27" t="s">
        <v>124</v>
      </c>
      <c r="B28" s="9">
        <f>COUNTIFS('Data &amp; K-means'!E:E,"Iris-virginica",'Data &amp; K-means'!S:S,1)</f>
        <v>0</v>
      </c>
      <c r="C28" s="9">
        <f>COUNTIFS('Data &amp; K-means'!E:E,"Iris-virginica",'Data &amp; K-means'!S:S,2)</f>
        <v>15</v>
      </c>
      <c r="D28" s="9">
        <f>COUNTIFS('Data &amp; K-means'!E:E,"Iris-virginica",'Data &amp; K-means'!S:S,3)</f>
        <v>35</v>
      </c>
    </row>
    <row r="30" spans="1:4">
      <c r="A30" s="23" t="s">
        <v>125</v>
      </c>
    </row>
    <row r="32" spans="1:4">
      <c r="A32" s="23" t="s">
        <v>126</v>
      </c>
    </row>
    <row r="34" spans="1:1">
      <c r="A34" s="24" t="s">
        <v>127</v>
      </c>
    </row>
    <row r="36" spans="1:1">
      <c r="A36" s="23" t="s">
        <v>128</v>
      </c>
    </row>
    <row r="38" spans="1:1">
      <c r="A38" s="23" t="s">
        <v>129</v>
      </c>
    </row>
    <row r="40" spans="1:1">
      <c r="A40" s="23" t="s">
        <v>130</v>
      </c>
    </row>
    <row r="42" spans="1:1">
      <c r="A42" s="23" t="s">
        <v>131</v>
      </c>
    </row>
    <row r="44" spans="1:1">
      <c r="A44" s="24" t="s">
        <v>132</v>
      </c>
    </row>
    <row r="46" spans="1:1">
      <c r="A46" s="23" t="s">
        <v>133</v>
      </c>
    </row>
    <row r="48" spans="1:1">
      <c r="A48" s="24" t="s">
        <v>134</v>
      </c>
    </row>
    <row r="50" spans="1:1">
      <c r="A50" s="23" t="s">
        <v>135</v>
      </c>
    </row>
    <row r="52" spans="1:1">
      <c r="A52" s="24" t="s">
        <v>136</v>
      </c>
    </row>
    <row r="54" spans="1:1">
      <c r="A54" s="23" t="s">
        <v>137</v>
      </c>
    </row>
    <row r="56" spans="1:1">
      <c r="A56" s="28" t="s">
        <v>138</v>
      </c>
    </row>
    <row r="57" spans="1:1">
      <c r="A57" s="29"/>
    </row>
    <row r="58" spans="1:1">
      <c r="A58" s="29" t="s">
        <v>139</v>
      </c>
    </row>
    <row r="59" spans="1:1">
      <c r="A59" s="29"/>
    </row>
    <row r="60" spans="1:1">
      <c r="A60" s="23" t="s">
        <v>140</v>
      </c>
    </row>
    <row r="62" spans="1:1">
      <c r="A62" s="23" t="s">
        <v>141</v>
      </c>
    </row>
    <row r="65" spans="1:2">
      <c r="A65" s="30" t="s">
        <v>142</v>
      </c>
      <c r="B65" s="30">
        <f>SQRT(POWER('Data &amp; K-means'!A2-'Data &amp; K-means'!$H$2,2) + POWER('Data &amp; K-means'!B2-'Data &amp; K-means'!$I$2,2) + POWER('Data &amp; K-means'!C2-'Data &amp; K-means'!$J$2,2) + POWER('Data &amp; K-means'!D2-'Data &amp; K-means'!$K$2,2))</f>
        <v>0.99498743710661974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&amp; K-means</vt:lpstr>
      <vt:lpstr>Perguntas &amp; Respostas</vt:lpstr>
      <vt:lpstr>'Data &amp; K-means'!iris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Renato S F Medeiros</cp:lastModifiedBy>
  <cp:revision/>
  <dcterms:created xsi:type="dcterms:W3CDTF">2025-12-01T21:47:33Z</dcterms:created>
  <dcterms:modified xsi:type="dcterms:W3CDTF">2025-12-02T02:37:22Z</dcterms:modified>
  <cp:category/>
  <cp:contentStatus/>
</cp:coreProperties>
</file>